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6937a09dc3db9dc4/Desktop/"/>
    </mc:Choice>
  </mc:AlternateContent>
  <xr:revisionPtr revIDLastSave="0" documentId="8_{1824B921-4677-4005-A7C3-98EC584B93DC}" xr6:coauthVersionLast="47" xr6:coauthVersionMax="47" xr10:uidLastSave="{00000000-0000-0000-0000-000000000000}"/>
  <bookViews>
    <workbookView xWindow="-108" yWindow="-108" windowWidth="23256" windowHeight="12456" xr2:uid="{BF40C007-F7E1-4EE7-830B-5D6D9E0C3AAA}"/>
  </bookViews>
  <sheets>
    <sheet name="Sheet1" sheetId="1" r:id="rId1"/>
    <sheet name="Sheet2" sheetId="2" r:id="rId2"/>
  </sheets>
  <definedNames>
    <definedName name="_xlcn.WorksheetConnection_Book1Table11" hidden="1">Table1[]</definedName>
    <definedName name="_xlcn.WorksheetConnection_Book1Table21" hidden="1">Table2</definedName>
    <definedName name="Slicer_Department">#N/A</definedName>
    <definedName name="Slicer_Manager">#N/A</definedName>
    <definedName name="Slicer_Rating">#N/A</definedName>
    <definedName name="Slicer_Region">#N/A</definedName>
  </definedNames>
  <calcPr calcId="191029"/>
  <pivotCaches>
    <pivotCache cacheId="1"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Book1!Table2"/>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8" i="1" l="1"/>
  <c r="B41" i="1"/>
  <c r="B39" i="1"/>
  <c r="J24" i="2"/>
  <c r="G24" i="2"/>
  <c r="G20" i="2"/>
  <c r="E23" i="2"/>
  <c r="C22" i="2"/>
  <c r="C20" i="2"/>
  <c r="I16" i="2"/>
  <c r="I15" i="2"/>
  <c r="I14" i="2"/>
  <c r="I13" i="2"/>
  <c r="I12" i="2"/>
  <c r="I11" i="2"/>
  <c r="I10" i="2"/>
  <c r="I9" i="2"/>
  <c r="I8" i="2"/>
  <c r="I7" i="2"/>
  <c r="I6" i="2"/>
  <c r="I5" i="2"/>
  <c r="I4" i="2"/>
  <c r="I3" i="2"/>
  <c r="I2" i="2"/>
  <c r="I12" i="1"/>
  <c r="I13" i="1"/>
  <c r="I14" i="1"/>
  <c r="I15" i="1"/>
  <c r="I16" i="1"/>
  <c r="I17" i="1"/>
  <c r="I18" i="1"/>
  <c r="I19" i="1"/>
  <c r="I20" i="1"/>
  <c r="I21" i="1"/>
  <c r="I22" i="1"/>
  <c r="I23" i="1"/>
  <c r="I24" i="1"/>
  <c r="I25" i="1"/>
  <c r="I11" i="1"/>
  <c r="B40" i="1" l="1"/>
  <c r="L24" i="2"/>
  <c r="J16" i="2" a="1"/>
  <c r="K16" i="2" s="1" a="1"/>
  <c r="J15" i="2" a="1"/>
  <c r="K15" i="2" s="1" a="1"/>
  <c r="J14" i="2" a="1"/>
  <c r="K14" i="2" s="1" a="1"/>
  <c r="J13" i="2" a="1"/>
  <c r="K13" i="2" s="1" a="1"/>
  <c r="J12" i="2" a="1"/>
  <c r="K12" i="2" s="1" a="1"/>
  <c r="J11" i="2" a="1"/>
  <c r="K11" i="2" s="1" a="1"/>
  <c r="J10" i="2" a="1"/>
  <c r="K10" i="2" s="1" a="1"/>
  <c r="J9" i="2" a="1"/>
  <c r="K9" i="2" s="1" a="1"/>
  <c r="J8" i="2" a="1"/>
  <c r="K8" i="2" s="1" a="1"/>
  <c r="J7" i="2" a="1"/>
  <c r="K7" i="2" s="1" a="1"/>
  <c r="J6" i="2" a="1"/>
  <c r="K6" i="2" s="1" a="1"/>
  <c r="J5" i="2" a="1"/>
  <c r="K5" i="2" s="1" a="1"/>
  <c r="J4" i="2" a="1"/>
  <c r="K4" i="2" s="1" a="1"/>
  <c r="J3" i="2" a="1"/>
  <c r="K3" i="2" s="1" a="1"/>
  <c r="J2" i="2" a="1"/>
  <c r="K2" i="2" s="1" a="1"/>
  <c r="J11" i="1" a="1"/>
  <c r="K11" i="1" s="1" a="1"/>
  <c r="J12" i="1" a="1"/>
  <c r="K12" i="1" s="1" a="1"/>
  <c r="J13" i="1" a="1"/>
  <c r="K13" i="1" s="1" a="1"/>
  <c r="J14" i="1" a="1"/>
  <c r="K14" i="1" s="1" a="1"/>
  <c r="J15" i="1" a="1"/>
  <c r="K15" i="1" s="1" a="1"/>
  <c r="J16" i="1" a="1"/>
  <c r="K16" i="1" s="1" a="1"/>
  <c r="J17" i="1" a="1"/>
  <c r="K17" i="1" s="1" a="1"/>
  <c r="J18" i="1" a="1"/>
  <c r="K18" i="1" s="1" a="1"/>
  <c r="J19" i="1" a="1"/>
  <c r="K19" i="1" s="1" a="1"/>
  <c r="J20" i="1" a="1"/>
  <c r="K20" i="1" s="1" a="1"/>
  <c r="J21" i="1" a="1"/>
  <c r="K21" i="1" s="1" a="1"/>
  <c r="J22" i="1" a="1"/>
  <c r="K22" i="1" s="1" a="1"/>
  <c r="J23" i="1" a="1"/>
  <c r="K23" i="1" s="1" a="1"/>
  <c r="J24" i="1" a="1"/>
  <c r="K24" i="1" s="1" a="1"/>
  <c r="J25" i="1" a="1"/>
  <c r="K25" i="1" s="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175DD6-7FD0-43F3-950C-5AA7E251763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456B18A-AF41-4A1A-8DA8-1E55FE3534C9}" name="WorksheetConnection_Book1!Table1" type="102" refreshedVersion="8" minRefreshableVersion="5">
    <extLst>
      <ext xmlns:x15="http://schemas.microsoft.com/office/spreadsheetml/2010/11/main" uri="{DE250136-89BD-433C-8126-D09CA5730AF9}">
        <x15:connection id="Table1">
          <x15:rangePr sourceName="_xlcn.WorksheetConnection_Book1Table11"/>
        </x15:connection>
      </ext>
    </extLst>
  </connection>
  <connection id="3" xr16:uid="{F604ED3B-97DA-41D5-A8DB-D17938ECF6EF}" name="WorksheetConnection_Book1!Table2" type="102" refreshedVersion="8" minRefreshableVersion="5">
    <extLst>
      <ext xmlns:x15="http://schemas.microsoft.com/office/spreadsheetml/2010/11/main" uri="{DE250136-89BD-433C-8126-D09CA5730AF9}">
        <x15:connection id="Table2">
          <x15:rangePr sourceName="_xlcn.WorksheetConnection_Book1Table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<sst xmlns="http://schemas.openxmlformats.org/spreadsheetml/2006/main" count="253" uniqueCount="89">
  <si>
    <t>Emp ID</t>
  </si>
  <si>
    <t>Employee</t>
  </si>
  <si>
    <t>Department</t>
  </si>
  <si>
    <t>Region</t>
  </si>
  <si>
    <t>Join Date</t>
  </si>
  <si>
    <t>Target</t>
  </si>
  <si>
    <t>Achieved</t>
  </si>
  <si>
    <t>Salary</t>
  </si>
  <si>
    <t>Manager</t>
  </si>
  <si>
    <t>E101</t>
  </si>
  <si>
    <t>Aman</t>
  </si>
  <si>
    <t>Sales</t>
  </si>
  <si>
    <t>North</t>
  </si>
  <si>
    <t>Raj</t>
  </si>
  <si>
    <t>E102</t>
  </si>
  <si>
    <t>Riya</t>
  </si>
  <si>
    <t>South</t>
  </si>
  <si>
    <t>E103</t>
  </si>
  <si>
    <t>Karan</t>
  </si>
  <si>
    <t>Marketing</t>
  </si>
  <si>
    <t>West</t>
  </si>
  <si>
    <t>Neha</t>
  </si>
  <si>
    <t>E104</t>
  </si>
  <si>
    <t>Priya</t>
  </si>
  <si>
    <t>Finance</t>
  </si>
  <si>
    <t>East</t>
  </si>
  <si>
    <t>Vikas</t>
  </si>
  <si>
    <t>E105</t>
  </si>
  <si>
    <t>E106</t>
  </si>
  <si>
    <t>Ankit</t>
  </si>
  <si>
    <t>Nrth</t>
  </si>
  <si>
    <t>E107</t>
  </si>
  <si>
    <t>Shreya</t>
  </si>
  <si>
    <t>E108</t>
  </si>
  <si>
    <t>Rohit</t>
  </si>
  <si>
    <t>E109</t>
  </si>
  <si>
    <t>Megha</t>
  </si>
  <si>
    <t>E110</t>
  </si>
  <si>
    <t>Purchase</t>
  </si>
  <si>
    <t>Sunil</t>
  </si>
  <si>
    <t>E111</t>
  </si>
  <si>
    <t>Arjun</t>
  </si>
  <si>
    <t>E112</t>
  </si>
  <si>
    <t>E113</t>
  </si>
  <si>
    <t>E114</t>
  </si>
  <si>
    <t>Kunal</t>
  </si>
  <si>
    <t>E115</t>
  </si>
  <si>
    <t>Ach%</t>
  </si>
  <si>
    <t>Rating</t>
  </si>
  <si>
    <t xml:space="preserve">Bonus </t>
  </si>
  <si>
    <t>Unknown</t>
  </si>
  <si>
    <t>-</t>
  </si>
  <si>
    <t>MIS REPORT - EMPLOYEE PERFORMANCE DASHBOARD</t>
  </si>
  <si>
    <t>DEPARTMENT WISE SUMMARY</t>
  </si>
  <si>
    <t>Row Labels</t>
  </si>
  <si>
    <t>Grand Total</t>
  </si>
  <si>
    <t>Count of Employee</t>
  </si>
  <si>
    <t>Employees</t>
  </si>
  <si>
    <t>Total Target</t>
  </si>
  <si>
    <t>Total Achieved</t>
  </si>
  <si>
    <t>Sum of Ach_%</t>
  </si>
  <si>
    <t xml:space="preserve">TOP 5 PERFORMERS </t>
  </si>
  <si>
    <t xml:space="preserve"> Ach_%</t>
  </si>
  <si>
    <t>Check</t>
  </si>
  <si>
    <t>Duplicate Employees</t>
  </si>
  <si>
    <t xml:space="preserve">Missing Employee Name </t>
  </si>
  <si>
    <t>Missing Achievement</t>
  </si>
  <si>
    <t>Missing Manager</t>
  </si>
  <si>
    <t>Count</t>
  </si>
  <si>
    <t xml:space="preserve">Details </t>
  </si>
  <si>
    <t>Aman(2),Riya(2)</t>
  </si>
  <si>
    <t>Emp ID: E110</t>
  </si>
  <si>
    <t>Emp ID: E111</t>
  </si>
  <si>
    <t>Emp ID: E112</t>
  </si>
  <si>
    <t>DATA QUALITY CHECK</t>
  </si>
  <si>
    <t>Jan</t>
  </si>
  <si>
    <t>Feb</t>
  </si>
  <si>
    <t>Mar</t>
  </si>
  <si>
    <t>Apr</t>
  </si>
  <si>
    <t>May</t>
  </si>
  <si>
    <t>Jun</t>
  </si>
  <si>
    <t>Jul</t>
  </si>
  <si>
    <t>Aug</t>
  </si>
  <si>
    <t>Sep</t>
  </si>
  <si>
    <t>Oct</t>
  </si>
  <si>
    <t>Nov</t>
  </si>
  <si>
    <t>Dec</t>
  </si>
  <si>
    <t>Report Date : 04-June 2026</t>
  </si>
  <si>
    <t xml:space="preserve">EMPLOYEE PERFORMANCE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</si>
</sst>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3" x14ac:knownFonts="1">
    <font>
      <sz val="11"/>
      <color theme="1"/>
      <name val="Calibri"/>
      <family val="2"/>
      <scheme val="minor"/>
    </font>
    <font>
      <sz val="11"/>
      <color theme="1"/>
      <name val="Calibri"/>
      <family val="2"/>
      <scheme val="minor"/>
    </font>
    <font>
      <sz val="16"/>
      <color theme="0"/>
      <name val="Calibri"/>
      <family val="2"/>
      <scheme val="minor"/>
    </font>
    <font>
      <sz val="8"/>
      <color theme="1"/>
      <name val="Calibri"/>
      <family val="2"/>
      <scheme val="minor"/>
    </font>
    <font>
      <b/>
      <sz val="11"/>
      <color theme="3"/>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b/>
      <sz val="14"/>
      <color theme="3"/>
      <name val="Calibri"/>
      <family val="2"/>
      <scheme val="minor"/>
    </font>
    <font>
      <b/>
      <sz val="16"/>
      <color theme="1"/>
      <name val="Calibri"/>
      <family val="2"/>
      <scheme val="minor"/>
    </font>
    <font>
      <b/>
      <sz val="16"/>
      <color rgb="FFFF0000"/>
      <name val="Calibri"/>
      <family val="2"/>
      <scheme val="minor"/>
    </font>
    <font>
      <b/>
      <sz val="16"/>
      <color theme="0"/>
      <name val="Calibri"/>
      <family val="2"/>
      <scheme val="minor"/>
    </font>
    <font>
      <b/>
      <sz val="11"/>
      <color theme="4" tint="-0.249977111117893"/>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9" tint="0.39997558519241921"/>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6">
    <xf numFmtId="0" fontId="0" fillId="0" borderId="0" xfId="0"/>
    <xf numFmtId="15" fontId="0" fillId="0" borderId="0" xfId="0" applyNumberFormat="1"/>
    <xf numFmtId="10" fontId="0" fillId="0" borderId="0" xfId="0" applyNumberFormat="1"/>
    <xf numFmtId="10" fontId="0" fillId="0" borderId="0" xfId="0" applyNumberFormat="1" applyAlignment="1">
      <alignment horizontal="center"/>
    </xf>
    <xf numFmtId="0" fontId="0" fillId="0" borderId="0" xfId="0" applyAlignment="1">
      <alignment horizontal="center"/>
    </xf>
    <xf numFmtId="1" fontId="0" fillId="0" borderId="0" xfId="0" applyNumberFormat="1"/>
    <xf numFmtId="0" fontId="3" fillId="0" borderId="0" xfId="0" applyFont="1" applyAlignment="1">
      <alignment horizontal="center" vertical="center"/>
    </xf>
    <xf numFmtId="0" fontId="3" fillId="0" borderId="0" xfId="0" applyFont="1" applyAlignment="1">
      <alignment horizontal="center" vertical="center" wrapText="1"/>
    </xf>
    <xf numFmtId="164" fontId="0" fillId="0" borderId="0" xfId="1" applyNumberFormat="1" applyFont="1"/>
    <xf numFmtId="10" fontId="0" fillId="0" borderId="0" xfId="2" applyNumberFormat="1" applyFont="1"/>
    <xf numFmtId="0" fontId="0" fillId="0" borderId="1" xfId="0" applyBorder="1" applyAlignment="1">
      <alignment horizontal="center"/>
    </xf>
    <xf numFmtId="10" fontId="0" fillId="0" borderId="1" xfId="0" applyNumberFormat="1" applyBorder="1" applyAlignment="1">
      <alignment horizontal="center"/>
    </xf>
    <xf numFmtId="0" fontId="7" fillId="0" borderId="1" xfId="0" applyFont="1" applyBorder="1" applyAlignment="1">
      <alignment horizontal="center"/>
    </xf>
    <xf numFmtId="0" fontId="0" fillId="0" borderId="0" xfId="0" pivotButton="1"/>
    <xf numFmtId="0" fontId="0" fillId="0" borderId="0" xfId="0" applyAlignment="1">
      <alignment horizontal="left"/>
    </xf>
    <xf numFmtId="0" fontId="0" fillId="0" borderId="1" xfId="0" applyBorder="1"/>
    <xf numFmtId="0" fontId="2" fillId="2" borderId="0" xfId="0" applyFont="1" applyFill="1" applyAlignment="1">
      <alignment horizontal="center" vertical="center"/>
    </xf>
    <xf numFmtId="0" fontId="4" fillId="0" borderId="0" xfId="0" applyFont="1" applyAlignment="1">
      <alignment horizontal="center"/>
    </xf>
    <xf numFmtId="0" fontId="8" fillId="0" borderId="0" xfId="0" applyFont="1" applyAlignment="1">
      <alignment horizontal="left" vertical="top"/>
    </xf>
    <xf numFmtId="0" fontId="0" fillId="0" borderId="1" xfId="0" pivotButton="1" applyBorder="1" applyAlignment="1">
      <alignment horizontal="center"/>
    </xf>
    <xf numFmtId="164" fontId="0" fillId="0" borderId="1" xfId="0" applyNumberFormat="1" applyBorder="1" applyAlignment="1">
      <alignment horizontal="center"/>
    </xf>
    <xf numFmtId="0" fontId="4" fillId="0" borderId="0" xfId="0" applyFont="1" applyAlignment="1"/>
    <xf numFmtId="0" fontId="0" fillId="0" borderId="0" xfId="0" applyAlignment="1">
      <alignment horizontal="center"/>
    </xf>
    <xf numFmtId="0" fontId="4" fillId="0" borderId="2" xfId="0" applyFont="1" applyBorder="1" applyAlignment="1">
      <alignment horizontal="center" vertical="center"/>
    </xf>
    <xf numFmtId="0" fontId="9" fillId="4" borderId="1" xfId="0" applyFont="1" applyFill="1" applyBorder="1" applyAlignment="1">
      <alignment horizontal="center"/>
    </xf>
    <xf numFmtId="0" fontId="10" fillId="0" borderId="1" xfId="0" applyFont="1" applyBorder="1" applyAlignment="1">
      <alignment horizontal="center"/>
    </xf>
    <xf numFmtId="0" fontId="2" fillId="2" borderId="0" xfId="0" applyFont="1" applyFill="1" applyAlignment="1">
      <alignment vertical="center"/>
    </xf>
    <xf numFmtId="10" fontId="0" fillId="3" borderId="1" xfId="0" applyNumberFormat="1" applyFill="1" applyBorder="1" applyAlignment="1">
      <alignment horizontal="center"/>
    </xf>
    <xf numFmtId="0" fontId="6" fillId="0" borderId="1" xfId="0" applyFont="1" applyBorder="1" applyAlignment="1">
      <alignment horizontal="center"/>
    </xf>
    <xf numFmtId="15" fontId="6" fillId="0" borderId="1" xfId="0" applyNumberFormat="1" applyFont="1" applyBorder="1" applyAlignment="1">
      <alignment horizontal="center"/>
    </xf>
    <xf numFmtId="10" fontId="6" fillId="0" borderId="1" xfId="0" applyNumberFormat="1" applyFont="1" applyBorder="1" applyAlignment="1">
      <alignment horizontal="center"/>
    </xf>
    <xf numFmtId="1" fontId="6" fillId="0" borderId="1" xfId="0" applyNumberFormat="1" applyFont="1" applyBorder="1" applyAlignment="1">
      <alignment horizontal="center"/>
    </xf>
    <xf numFmtId="0" fontId="0" fillId="0" borderId="1" xfId="0" applyNumberFormat="1" applyBorder="1" applyAlignment="1">
      <alignment horizontal="center"/>
    </xf>
    <xf numFmtId="0" fontId="11" fillId="2" borderId="0" xfId="0" applyFont="1" applyFill="1" applyAlignment="1">
      <alignment horizontal="center" vertical="center"/>
    </xf>
    <xf numFmtId="10" fontId="5" fillId="0" borderId="1" xfId="0" applyNumberFormat="1" applyFont="1" applyBorder="1" applyAlignment="1">
      <alignment horizontal="center"/>
    </xf>
    <xf numFmtId="0" fontId="12" fillId="4" borderId="0" xfId="0" applyFont="1" applyFill="1" applyAlignment="1">
      <alignment horizontal="center"/>
    </xf>
  </cellXfs>
  <cellStyles count="3">
    <cellStyle name="Comma" xfId="1" builtinId="3"/>
    <cellStyle name="Normal" xfId="0" builtinId="0"/>
    <cellStyle name="Percent" xfId="2" builtinId="5"/>
  </cellStyles>
  <dxfs count="148">
    <dxf>
      <numFmt numFmtId="164" formatCode="_ * #,##0_ ;_ * \-#,##0_ ;_ * &quot;-&quot;??_ ;_ @_ "/>
    </dxf>
    <dxf>
      <numFmt numFmtId="164" formatCode="_ * #,##0_ ;_ * \-#,##0_ ;_ * &quot;-&quot;??_ ;_ @_ "/>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color rgb="FFFF0000"/>
      </font>
    </dxf>
    <dxf>
      <font>
        <b/>
        <strike val="0"/>
        <outline val="0"/>
        <shadow val="0"/>
        <u val="none"/>
        <vertAlign val="baseline"/>
        <sz val="11"/>
        <color theme="4" tint="-0.249977111117893"/>
        <name val="Calibri"/>
        <family val="2"/>
        <scheme val="minor"/>
      </font>
      <fill>
        <patternFill patternType="solid">
          <fgColor indexed="64"/>
          <bgColor theme="4" tint="0.79998168889431442"/>
        </patternFill>
      </fill>
      <alignment horizontal="center" vertical="bottom" textRotation="0" wrapText="0" indent="0" justifyLastLine="0" shrinkToFit="0" readingOrder="0"/>
    </dxf>
    <dxf>
      <numFmt numFmtId="164" formatCode="_ * #,##0_ ;_ * \-#,##0_ ;_ * &quot;-&quot;??_ ;_ @_ "/>
    </dxf>
    <dxf>
      <numFmt numFmtId="164" formatCode="_ * #,##0_ ;_ * \-#,##0_ ;_ * &quot;-&quot;??_ ;_ @_ "/>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_ * #,##0_ ;_ * \-#,##0_ ;_ * &quot;-&quot;??_ ;_ @_ "/>
    </dxf>
    <dxf>
      <numFmt numFmtId="164" formatCode="_ * #,##0_ ;_ * \-#,##0_ ;_ * &quot;-&quot;??_ ;_ @_ "/>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_ * #,##0_ ;_ * \-#,##0_ ;_ * &quot;-&quot;??_ ;_ @_ "/>
    </dxf>
    <dxf>
      <numFmt numFmtId="164" formatCode="_ * #,##0_ ;_ * \-#,##0_ ;_ * &quot;-&quot;??_ ;_ @_ "/>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_ * #,##0_ ;_ * \-#,##0_ ;_ * &quot;-&quot;??_ ;_ @_ "/>
    </dxf>
    <dxf>
      <numFmt numFmtId="164" formatCode="_ * #,##0_ ;_ * \-#,##0_ ;_ * &quot;-&quot;??_ ;_ @_ "/>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alignment horizontal="center" vertical="bottom" textRotation="0" wrapText="0" indent="0" justifyLastLine="0" shrinkToFit="0" readingOrder="0"/>
    </dxf>
    <dxf>
      <font>
        <b/>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0" formatCode="dd/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color rgb="FFFF0000"/>
      </font>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ill>
        <patternFill patternType="solid">
          <bgColor theme="9" tint="0.39997558519241921"/>
        </patternFill>
      </fill>
    </dxf>
    <dxf>
      <alignment horizontal="center"/>
    </dxf>
    <dxf>
      <fill>
        <patternFill>
          <bgColor theme="9" tint="0.39997558519241921"/>
        </patternFill>
      </fill>
    </dxf>
    <dxf>
      <numFmt numFmtId="14" formatCode="0.00%"/>
    </dxf>
    <dxf>
      <font>
        <color rgb="FFFF0000"/>
      </font>
    </dxf>
    <dxf>
      <numFmt numFmtId="1" formatCode="0"/>
    </dxf>
    <dxf>
      <numFmt numFmtId="14" formatCode="0.00%"/>
    </dxf>
    <dxf>
      <numFmt numFmtId="14" formatCode="0.00%"/>
    </dxf>
    <dxf>
      <numFmt numFmtId="20" formatCode="dd/mmm/yy"/>
    </dxf>
    <dxf>
      <numFmt numFmtId="14" formatCode="0.00%"/>
    </dxf>
    <dxf>
      <numFmt numFmtId="14" formatCode="0.00%"/>
    </dxf>
    <dxf>
      <font>
        <color rgb="FFFF0000"/>
      </font>
    </dxf>
    <dxf>
      <numFmt numFmtId="14" formatCode="0.00%"/>
    </dxf>
    <dxf>
      <fill>
        <patternFill>
          <bgColor theme="9" tint="0.39997558519241921"/>
        </patternFill>
      </fill>
    </dxf>
    <dxf>
      <alignment horizontal="center"/>
    </dxf>
    <dxf>
      <fill>
        <patternFill patternType="solid">
          <bgColor theme="9" tint="0.39997558519241921"/>
        </patternFill>
      </fill>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pivotCacheDefinition" Target="pivotCache/pivotCacheDefinition1.xml"/><Relationship Id="rId21" Type="http://schemas.openxmlformats.org/officeDocument/2006/relationships/customXml" Target="../customXml/item7.xml"/><Relationship Id="rId7" Type="http://schemas.microsoft.com/office/2007/relationships/slicerCache" Target="slicerCaches/slicerCache4.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24" Type="http://schemas.openxmlformats.org/officeDocument/2006/relationships/customXml" Target="../customXml/item10.xml"/><Relationship Id="rId5" Type="http://schemas.microsoft.com/office/2007/relationships/slicerCache" Target="slicerCaches/slicerCache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microsoft.com/office/2007/relationships/slicerCache" Target="slicerCaches/slicerCache1.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Report.xlsx]Sheet2!PivotTable4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ACHIEVEMENT</a:t>
            </a:r>
            <a:r>
              <a:rPr lang="en-US" baseline="0">
                <a:solidFill>
                  <a:schemeClr val="accent1"/>
                </a:solidFill>
              </a:rPr>
              <a:t> %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Sheet2!$E$29:$E$33</c:f>
              <c:strCache>
                <c:ptCount val="4"/>
                <c:pt idx="0">
                  <c:v>Finance</c:v>
                </c:pt>
                <c:pt idx="1">
                  <c:v>Marketing</c:v>
                </c:pt>
                <c:pt idx="2">
                  <c:v>Purchase</c:v>
                </c:pt>
                <c:pt idx="3">
                  <c:v>Sales</c:v>
                </c:pt>
              </c:strCache>
            </c:strRef>
          </c:cat>
          <c:val>
            <c:numRef>
              <c:f>Sheet2!$F$29:$F$33</c:f>
              <c:numCache>
                <c:formatCode>0.00%</c:formatCode>
                <c:ptCount val="4"/>
                <c:pt idx="0">
                  <c:v>0.77866666666666662</c:v>
                </c:pt>
                <c:pt idx="1">
                  <c:v>0.92653061224489797</c:v>
                </c:pt>
                <c:pt idx="2">
                  <c:v>0.97142857142857142</c:v>
                </c:pt>
                <c:pt idx="3">
                  <c:v>0.99375000000000002</c:v>
                </c:pt>
              </c:numCache>
            </c:numRef>
          </c:val>
          <c:extLst>
            <c:ext xmlns:c16="http://schemas.microsoft.com/office/drawing/2014/chart" uri="{C3380CC4-5D6E-409C-BE32-E72D297353CC}">
              <c16:uniqueId val="{00000000-4E5E-4D16-985C-63B108743A5B}"/>
            </c:ext>
          </c:extLst>
        </c:ser>
        <c:dLbls>
          <c:dLblPos val="outEnd"/>
          <c:showLegendKey val="0"/>
          <c:showVal val="1"/>
          <c:showCatName val="0"/>
          <c:showSerName val="0"/>
          <c:showPercent val="0"/>
          <c:showBubbleSize val="0"/>
        </c:dLbls>
        <c:gapWidth val="219"/>
        <c:overlap val="-27"/>
        <c:axId val="1099475503"/>
        <c:axId val="1099459183"/>
      </c:barChart>
      <c:catAx>
        <c:axId val="1099475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459183"/>
        <c:crosses val="autoZero"/>
        <c:auto val="1"/>
        <c:lblAlgn val="ctr"/>
        <c:lblOffset val="100"/>
        <c:noMultiLvlLbl val="0"/>
      </c:catAx>
      <c:valAx>
        <c:axId val="1099459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47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Report.xlsx]Sheet2!PivotTable5</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kern="1200" cap="all" spc="50" baseline="0">
                <a:solidFill>
                  <a:schemeClr val="accent5"/>
                </a:solidFill>
                <a:latin typeface="+mn-lt"/>
                <a:ea typeface="+mn-ea"/>
                <a:cs typeface="+mn-cs"/>
              </a:rPr>
              <a:t>EMPLOYEE</a:t>
            </a:r>
            <a:r>
              <a:rPr lang="en-IN">
                <a:solidFill>
                  <a:schemeClr val="accent5"/>
                </a:solidFill>
              </a:rPr>
              <a:t> COUNT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Sheet2!$E$39</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9D-40B3-8674-68EADFCE1EA5}"/>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9D-40B3-8674-68EADFCE1EA5}"/>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59D-40B3-8674-68EADFCE1EA5}"/>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59D-40B3-8674-68EADFCE1EA5}"/>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59D-40B3-8674-68EADFCE1E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Sheet2!$D$40:$D$45</c:f>
              <c:strCache>
                <c:ptCount val="5"/>
                <c:pt idx="0">
                  <c:v>East</c:v>
                </c:pt>
                <c:pt idx="1">
                  <c:v>North</c:v>
                </c:pt>
                <c:pt idx="2">
                  <c:v>Nrth</c:v>
                </c:pt>
                <c:pt idx="3">
                  <c:v>South</c:v>
                </c:pt>
                <c:pt idx="4">
                  <c:v>West</c:v>
                </c:pt>
              </c:strCache>
            </c:strRef>
          </c:cat>
          <c:val>
            <c:numRef>
              <c:f>Sheet2!$E$40:$E$45</c:f>
              <c:numCache>
                <c:formatCode>General</c:formatCode>
                <c:ptCount val="5"/>
                <c:pt idx="0">
                  <c:v>4</c:v>
                </c:pt>
                <c:pt idx="1">
                  <c:v>4</c:v>
                </c:pt>
                <c:pt idx="2">
                  <c:v>1</c:v>
                </c:pt>
                <c:pt idx="3">
                  <c:v>3</c:v>
                </c:pt>
                <c:pt idx="4">
                  <c:v>3</c:v>
                </c:pt>
              </c:numCache>
            </c:numRef>
          </c:val>
          <c:extLst>
            <c:ext xmlns:c16="http://schemas.microsoft.com/office/drawing/2014/chart" uri="{C3380CC4-5D6E-409C-BE32-E72D297353CC}">
              <c16:uniqueId val="{0000000A-E59D-40B3-8674-68EADFCE1EA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Report.xlsx]Sheet2!PivotTable10</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ACHIEVEMENT</a:t>
            </a:r>
            <a:r>
              <a:rPr lang="en-US" baseline="0"/>
              <a:t> % TREND (BY JOIN DATE)</a:t>
            </a:r>
            <a:endParaRPr lang="en-US"/>
          </a:p>
        </c:rich>
      </c:tx>
      <c:layout>
        <c:manualLayout>
          <c:xMode val="edge"/>
          <c:yMode val="edge"/>
          <c:x val="8.611111111111111E-2"/>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Sheet2!$J$37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Sheet2!$I$38:$I$50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Sheet2!$J$38:$J$50</c:f>
              <c:numCache>
                <c:formatCode>0.00%</c:formatCode>
                <c:ptCount val="12"/>
                <c:pt idx="0">
                  <c:v>0.9375</c:v>
                </c:pt>
                <c:pt idx="1">
                  <c:v>1.0416666666666667</c:v>
                </c:pt>
                <c:pt idx="2">
                  <c:v>0.9375</c:v>
                </c:pt>
                <c:pt idx="3">
                  <c:v>1.0222222222222221</c:v>
                </c:pt>
                <c:pt idx="4">
                  <c:v>0.95454545454545459</c:v>
                </c:pt>
                <c:pt idx="5">
                  <c:v>1.0315789473684212</c:v>
                </c:pt>
                <c:pt idx="6">
                  <c:v>0.82352941176470584</c:v>
                </c:pt>
                <c:pt idx="7">
                  <c:v>1.0769230769230769</c:v>
                </c:pt>
                <c:pt idx="8">
                  <c:v>0.97142857142857142</c:v>
                </c:pt>
                <c:pt idx="9">
                  <c:v>0</c:v>
                </c:pt>
                <c:pt idx="10">
                  <c:v>1.0249999999999999</c:v>
                </c:pt>
                <c:pt idx="11">
                  <c:v>1.02</c:v>
                </c:pt>
              </c:numCache>
            </c:numRef>
          </c:val>
          <c:smooth val="0"/>
          <c:extLst>
            <c:ext xmlns:c16="http://schemas.microsoft.com/office/drawing/2014/chart" uri="{C3380CC4-5D6E-409C-BE32-E72D297353CC}">
              <c16:uniqueId val="{00000000-6AE3-4007-8B95-E7D7283FA990}"/>
            </c:ext>
          </c:extLst>
        </c:ser>
        <c:dLbls>
          <c:showLegendKey val="0"/>
          <c:showVal val="0"/>
          <c:showCatName val="0"/>
          <c:showSerName val="0"/>
          <c:showPercent val="0"/>
          <c:showBubbleSize val="0"/>
        </c:dLbls>
        <c:marker val="1"/>
        <c:smooth val="0"/>
        <c:axId val="1099452943"/>
        <c:axId val="1099451023"/>
      </c:lineChart>
      <c:catAx>
        <c:axId val="109945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451023"/>
        <c:crosses val="autoZero"/>
        <c:auto val="1"/>
        <c:lblAlgn val="ctr"/>
        <c:lblOffset val="100"/>
        <c:noMultiLvlLbl val="0"/>
      </c:catAx>
      <c:valAx>
        <c:axId val="10994510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45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10887</xdr:colOff>
      <xdr:row>2</xdr:row>
      <xdr:rowOff>32656</xdr:rowOff>
    </xdr:from>
    <xdr:to>
      <xdr:col>1</xdr:col>
      <xdr:colOff>685800</xdr:colOff>
      <xdr:row>7</xdr:row>
      <xdr:rowOff>141513</xdr:rowOff>
    </xdr:to>
    <xdr:sp macro="" textlink="Sheet2!C20">
      <xdr:nvSpPr>
        <xdr:cNvPr id="12" name="Rectangle: Rounded Corners 11">
          <a:extLst>
            <a:ext uri="{FF2B5EF4-FFF2-40B4-BE49-F238E27FC236}">
              <a16:creationId xmlns:a16="http://schemas.microsoft.com/office/drawing/2014/main" id="{3C748282-1E15-8F9C-44DD-BEF1B27FD5A2}"/>
            </a:ext>
          </a:extLst>
        </xdr:cNvPr>
        <xdr:cNvSpPr/>
      </xdr:nvSpPr>
      <xdr:spPr>
        <a:xfrm>
          <a:off x="10887" y="402770"/>
          <a:ext cx="2253342" cy="1034143"/>
        </a:xfrm>
        <a:prstGeom prst="roundRect">
          <a:avLst/>
        </a:prstGeom>
        <a:solidFill>
          <a:schemeClr val="bg1"/>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i="0" u="none" strike="noStrike">
              <a:solidFill>
                <a:srgbClr val="000000"/>
              </a:solidFill>
              <a:latin typeface="+mn-lt"/>
              <a:ea typeface="Calibri"/>
              <a:cs typeface="Calibri"/>
            </a:rPr>
            <a:t>👥 </a:t>
          </a:r>
          <a:r>
            <a:rPr lang="en-US" sz="1400" b="1" i="0" u="none" strike="noStrike">
              <a:solidFill>
                <a:srgbClr val="000000"/>
              </a:solidFill>
              <a:latin typeface="+mn-lt"/>
              <a:ea typeface="Calibri"/>
              <a:cs typeface="Calibri"/>
            </a:rPr>
            <a:t>Total</a:t>
          </a:r>
          <a:r>
            <a:rPr lang="en-US" sz="1400" b="1" i="0" u="none" strike="noStrike" baseline="0">
              <a:solidFill>
                <a:srgbClr val="000000"/>
              </a:solidFill>
              <a:latin typeface="Calibri"/>
              <a:ea typeface="Calibri"/>
              <a:cs typeface="Calibri"/>
            </a:rPr>
            <a:t> Employees  </a:t>
          </a:r>
        </a:p>
        <a:p>
          <a:pPr algn="l"/>
          <a:r>
            <a:rPr lang="en-US" sz="1100" b="0" i="0" u="none" strike="noStrike">
              <a:solidFill>
                <a:srgbClr val="000000"/>
              </a:solidFill>
              <a:latin typeface="Calibri"/>
              <a:ea typeface="Calibri"/>
              <a:cs typeface="Calibri"/>
            </a:rPr>
            <a:t>           </a:t>
          </a:r>
          <a:r>
            <a:rPr lang="en-US" sz="1100" b="0" i="0" u="none" strike="noStrike" baseline="0">
              <a:solidFill>
                <a:srgbClr val="000000"/>
              </a:solidFill>
              <a:latin typeface="Calibri"/>
              <a:ea typeface="Calibri"/>
              <a:cs typeface="Calibri"/>
            </a:rPr>
            <a:t>                  </a:t>
          </a:r>
          <a:fld id="{02EB3D49-E774-4912-A8DF-777A0DAE42E3}" type="TxLink">
            <a:rPr lang="en-US" sz="1800" b="1" i="0" u="none" strike="noStrike">
              <a:solidFill>
                <a:srgbClr val="000000"/>
              </a:solidFill>
              <a:latin typeface="Calibri"/>
              <a:ea typeface="Calibri"/>
              <a:cs typeface="Calibri"/>
            </a:rPr>
            <a:pPr algn="l"/>
            <a:t>15</a:t>
          </a:fld>
          <a:endParaRPr lang="en-IN" sz="1800" b="1"/>
        </a:p>
      </xdr:txBody>
    </xdr:sp>
    <xdr:clientData/>
  </xdr:twoCellAnchor>
  <xdr:twoCellAnchor>
    <xdr:from>
      <xdr:col>1</xdr:col>
      <xdr:colOff>729341</xdr:colOff>
      <xdr:row>2</xdr:row>
      <xdr:rowOff>32657</xdr:rowOff>
    </xdr:from>
    <xdr:to>
      <xdr:col>4</xdr:col>
      <xdr:colOff>163285</xdr:colOff>
      <xdr:row>7</xdr:row>
      <xdr:rowOff>108856</xdr:rowOff>
    </xdr:to>
    <xdr:sp macro="" textlink="Sheet2!C22">
      <xdr:nvSpPr>
        <xdr:cNvPr id="13" name="Rectangle: Rounded Corners 12">
          <a:extLst>
            <a:ext uri="{FF2B5EF4-FFF2-40B4-BE49-F238E27FC236}">
              <a16:creationId xmlns:a16="http://schemas.microsoft.com/office/drawing/2014/main" id="{4CDF7D93-237E-4C69-9C98-F5CDBFAF1982}"/>
            </a:ext>
          </a:extLst>
        </xdr:cNvPr>
        <xdr:cNvSpPr/>
      </xdr:nvSpPr>
      <xdr:spPr>
        <a:xfrm>
          <a:off x="2307770" y="402771"/>
          <a:ext cx="2275115" cy="1001485"/>
        </a:xfrm>
        <a:prstGeom prst="roundRect">
          <a:avLst/>
        </a:prstGeom>
        <a:solidFill>
          <a:schemeClr val="bg1"/>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u="none" strike="noStrike">
              <a:solidFill>
                <a:srgbClr val="000000"/>
              </a:solidFill>
              <a:latin typeface="+mn-lt"/>
              <a:ea typeface="Calibri"/>
              <a:cs typeface="Calibri"/>
            </a:rPr>
            <a:t>🎯 </a:t>
          </a:r>
          <a:r>
            <a:rPr lang="en-US" sz="1400" b="1" i="0" u="none" strike="noStrike">
              <a:solidFill>
                <a:srgbClr val="000000"/>
              </a:solidFill>
              <a:latin typeface="+mn-lt"/>
              <a:ea typeface="Calibri"/>
              <a:cs typeface="Calibri"/>
            </a:rPr>
            <a:t>Total Target</a:t>
          </a:r>
        </a:p>
        <a:p>
          <a:pPr algn="l"/>
          <a:r>
            <a:rPr lang="en-US" sz="1400" b="0" i="0" u="none" strike="noStrike" baseline="0">
              <a:solidFill>
                <a:srgbClr val="000000"/>
              </a:solidFill>
              <a:latin typeface="Calibri"/>
              <a:ea typeface="Calibri"/>
              <a:cs typeface="Calibri"/>
            </a:rPr>
            <a:t>                  </a:t>
          </a:r>
          <a:fld id="{69B6280B-1AC9-4DCA-976D-170977248D74}" type="TxLink">
            <a:rPr lang="en-US" sz="1800" b="1" i="0" u="none" strike="noStrike">
              <a:solidFill>
                <a:srgbClr val="000000"/>
              </a:solidFill>
              <a:latin typeface="Calibri"/>
              <a:ea typeface="Calibri"/>
              <a:cs typeface="Calibri"/>
            </a:rPr>
            <a:pPr algn="l"/>
            <a:t> 14,90,000 </a:t>
          </a:fld>
          <a:endParaRPr lang="en-US" sz="1800" b="1"/>
        </a:p>
      </xdr:txBody>
    </xdr:sp>
    <xdr:clientData/>
  </xdr:twoCellAnchor>
  <xdr:twoCellAnchor>
    <xdr:from>
      <xdr:col>4</xdr:col>
      <xdr:colOff>192973</xdr:colOff>
      <xdr:row>2</xdr:row>
      <xdr:rowOff>33646</xdr:rowOff>
    </xdr:from>
    <xdr:to>
      <xdr:col>6</xdr:col>
      <xdr:colOff>620485</xdr:colOff>
      <xdr:row>7</xdr:row>
      <xdr:rowOff>119744</xdr:rowOff>
    </xdr:to>
    <xdr:sp macro="" textlink="Sheet2!E23">
      <xdr:nvSpPr>
        <xdr:cNvPr id="15" name="Rectangle: Rounded Corners 14">
          <a:extLst>
            <a:ext uri="{FF2B5EF4-FFF2-40B4-BE49-F238E27FC236}">
              <a16:creationId xmlns:a16="http://schemas.microsoft.com/office/drawing/2014/main" id="{FAEE0E25-FB23-4B94-B2E9-11B08D14EA0D}"/>
            </a:ext>
          </a:extLst>
        </xdr:cNvPr>
        <xdr:cNvSpPr/>
      </xdr:nvSpPr>
      <xdr:spPr>
        <a:xfrm>
          <a:off x="4612573" y="403760"/>
          <a:ext cx="2267198" cy="1011384"/>
        </a:xfrm>
        <a:prstGeom prst="roundRect">
          <a:avLst/>
        </a:prstGeom>
        <a:solidFill>
          <a:schemeClr val="bg1"/>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mn-lt"/>
              <a:ea typeface="Calibri"/>
              <a:cs typeface="Calibri"/>
            </a:rPr>
            <a:t>  </a:t>
          </a:r>
          <a:r>
            <a:rPr lang="en-US" sz="2800" b="0" i="0" u="none" strike="noStrike">
              <a:solidFill>
                <a:srgbClr val="000000"/>
              </a:solidFill>
              <a:latin typeface="+mn-lt"/>
              <a:ea typeface="Calibri"/>
              <a:cs typeface="Calibri"/>
            </a:rPr>
            <a:t>📊</a:t>
          </a:r>
          <a:r>
            <a:rPr lang="en-US" sz="1400" b="1" i="0" u="none" strike="noStrike">
              <a:solidFill>
                <a:srgbClr val="000000"/>
              </a:solidFill>
              <a:latin typeface="Calibri"/>
              <a:ea typeface="Calibri"/>
              <a:cs typeface="Calibri"/>
            </a:rPr>
            <a:t>Total Achieved</a:t>
          </a:r>
          <a:r>
            <a:rPr lang="en-US" sz="1100" b="0" i="0" u="none" strike="noStrike" baseline="0">
              <a:solidFill>
                <a:srgbClr val="000000"/>
              </a:solidFill>
              <a:latin typeface="Calibri"/>
              <a:ea typeface="Calibri"/>
              <a:cs typeface="Calibri"/>
            </a:rPr>
            <a:t> </a:t>
          </a:r>
        </a:p>
        <a:p>
          <a:pPr algn="l"/>
          <a:r>
            <a:rPr lang="en-US" sz="1100" b="0" i="0" u="none" strike="noStrike" baseline="0">
              <a:solidFill>
                <a:srgbClr val="000000"/>
              </a:solidFill>
              <a:latin typeface="Calibri"/>
              <a:ea typeface="Calibri"/>
              <a:cs typeface="Calibri"/>
            </a:rPr>
            <a:t>                         </a:t>
          </a:r>
          <a:fld id="{48073950-218B-455B-B8A4-43951902A01B}" type="TxLink">
            <a:rPr lang="en-US" sz="1800" b="1" i="0" u="none" strike="noStrike">
              <a:solidFill>
                <a:srgbClr val="000000"/>
              </a:solidFill>
              <a:latin typeface="Calibri"/>
              <a:ea typeface="Calibri"/>
              <a:cs typeface="Calibri"/>
            </a:rPr>
            <a:pPr algn="l"/>
            <a:t> 13,82,000 </a:t>
          </a:fld>
          <a:endParaRPr lang="en-US" sz="1800" b="1"/>
        </a:p>
      </xdr:txBody>
    </xdr:sp>
    <xdr:clientData/>
  </xdr:twoCellAnchor>
  <xdr:twoCellAnchor>
    <xdr:from>
      <xdr:col>6</xdr:col>
      <xdr:colOff>670626</xdr:colOff>
      <xdr:row>2</xdr:row>
      <xdr:rowOff>32656</xdr:rowOff>
    </xdr:from>
    <xdr:to>
      <xdr:col>8</xdr:col>
      <xdr:colOff>968828</xdr:colOff>
      <xdr:row>7</xdr:row>
      <xdr:rowOff>130629</xdr:rowOff>
    </xdr:to>
    <xdr:sp macro="" textlink="Sheet2!G20">
      <xdr:nvSpPr>
        <xdr:cNvPr id="2" name="Rectangle: Rounded Corners 1">
          <a:extLst>
            <a:ext uri="{FF2B5EF4-FFF2-40B4-BE49-F238E27FC236}">
              <a16:creationId xmlns:a16="http://schemas.microsoft.com/office/drawing/2014/main" id="{C0D03022-8F4C-4256-85A5-F6AFF6775DD5}"/>
            </a:ext>
          </a:extLst>
        </xdr:cNvPr>
        <xdr:cNvSpPr/>
      </xdr:nvSpPr>
      <xdr:spPr>
        <a:xfrm>
          <a:off x="7898740" y="402770"/>
          <a:ext cx="1996374" cy="1023259"/>
        </a:xfrm>
        <a:prstGeom prst="roundRect">
          <a:avLst/>
        </a:prstGeom>
        <a:solidFill>
          <a:schemeClr val="bg1"/>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i="0" u="none" strike="noStrike">
              <a:solidFill>
                <a:srgbClr val="000000"/>
              </a:solidFill>
              <a:latin typeface="+mn-lt"/>
              <a:ea typeface="Calibri"/>
              <a:cs typeface="Calibri"/>
            </a:rPr>
            <a:t>🥧</a:t>
          </a:r>
          <a:r>
            <a:rPr lang="en-US" sz="1400" b="1" i="0" u="none" strike="noStrike">
              <a:solidFill>
                <a:srgbClr val="000000"/>
              </a:solidFill>
              <a:latin typeface="+mn-lt"/>
              <a:ea typeface="Calibri"/>
              <a:cs typeface="Calibri"/>
            </a:rPr>
            <a:t>Achievement</a:t>
          </a:r>
          <a:r>
            <a:rPr lang="en-US" sz="1400" b="1" i="0" u="none" strike="noStrike" baseline="0">
              <a:solidFill>
                <a:srgbClr val="000000"/>
              </a:solidFill>
              <a:latin typeface="Calibri"/>
              <a:ea typeface="Calibri"/>
              <a:cs typeface="Calibri"/>
            </a:rPr>
            <a:t> %</a:t>
          </a:r>
        </a:p>
        <a:p>
          <a:pPr algn="l"/>
          <a:r>
            <a:rPr lang="en-US" sz="1100" b="0" i="0" u="none" strike="noStrike" baseline="0">
              <a:solidFill>
                <a:srgbClr val="000000"/>
              </a:solidFill>
              <a:latin typeface="Calibri"/>
              <a:ea typeface="Calibri"/>
              <a:cs typeface="Calibri"/>
            </a:rPr>
            <a:t>                              </a:t>
          </a:r>
          <a:fld id="{AC207909-7DD1-4764-B100-B57D67A094EC}" type="TxLink">
            <a:rPr lang="en-US" sz="1800" b="1" i="0" u="none" strike="noStrike">
              <a:solidFill>
                <a:srgbClr val="000000"/>
              </a:solidFill>
              <a:latin typeface="Calibri"/>
              <a:ea typeface="Calibri"/>
              <a:cs typeface="Calibri"/>
            </a:rPr>
            <a:pPr algn="l"/>
            <a:t>92.75%</a:t>
          </a:fld>
          <a:endParaRPr lang="en-US" sz="1800" b="1" i="0" u="none" strike="noStrike">
            <a:solidFill>
              <a:srgbClr val="000000"/>
            </a:solidFill>
            <a:latin typeface="Calibri"/>
            <a:ea typeface="Calibri"/>
            <a:cs typeface="Calibri"/>
          </a:endParaRPr>
        </a:p>
      </xdr:txBody>
    </xdr:sp>
    <xdr:clientData/>
  </xdr:twoCellAnchor>
  <xdr:twoCellAnchor>
    <xdr:from>
      <xdr:col>8</xdr:col>
      <xdr:colOff>1012369</xdr:colOff>
      <xdr:row>2</xdr:row>
      <xdr:rowOff>32657</xdr:rowOff>
    </xdr:from>
    <xdr:to>
      <xdr:col>11</xdr:col>
      <xdr:colOff>250372</xdr:colOff>
      <xdr:row>7</xdr:row>
      <xdr:rowOff>97971</xdr:rowOff>
    </xdr:to>
    <xdr:sp macro="" textlink="Sheet2!G24">
      <xdr:nvSpPr>
        <xdr:cNvPr id="6" name="Rectangle: Rounded Corners 5">
          <a:extLst>
            <a:ext uri="{FF2B5EF4-FFF2-40B4-BE49-F238E27FC236}">
              <a16:creationId xmlns:a16="http://schemas.microsoft.com/office/drawing/2014/main" id="{96452A3A-77BD-4383-8DEE-A224F120C86E}"/>
            </a:ext>
          </a:extLst>
        </xdr:cNvPr>
        <xdr:cNvSpPr/>
      </xdr:nvSpPr>
      <xdr:spPr>
        <a:xfrm>
          <a:off x="9938655" y="402771"/>
          <a:ext cx="2013860" cy="990600"/>
        </a:xfrm>
        <a:prstGeom prst="roundRect">
          <a:avLst/>
        </a:prstGeom>
        <a:solidFill>
          <a:schemeClr val="bg1"/>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a:solidFill>
                <a:schemeClr val="lt1"/>
              </a:solidFill>
              <a:effectLst/>
              <a:latin typeface="+mn-lt"/>
              <a:ea typeface="+mn-ea"/>
              <a:cs typeface="+mn-cs"/>
            </a:rPr>
            <a:t>💰 </a:t>
          </a:r>
          <a:r>
            <a:rPr lang="en-US" sz="1400" b="1" i="0" u="none" strike="noStrike">
              <a:solidFill>
                <a:srgbClr val="000000"/>
              </a:solidFill>
              <a:latin typeface="+mn-lt"/>
              <a:ea typeface="Calibri"/>
              <a:cs typeface="Calibri"/>
            </a:rPr>
            <a:t>Total</a:t>
          </a:r>
          <a:r>
            <a:rPr lang="en-US" sz="1400" b="1" i="0" u="none" strike="noStrike" baseline="0">
              <a:solidFill>
                <a:srgbClr val="000000"/>
              </a:solidFill>
              <a:latin typeface="Calibri"/>
              <a:ea typeface="Calibri"/>
              <a:cs typeface="Calibri"/>
            </a:rPr>
            <a:t> Salary</a:t>
          </a:r>
        </a:p>
        <a:p>
          <a:pPr algn="ctr"/>
          <a:r>
            <a:rPr lang="en-US" sz="1600" b="1" i="0" u="none" strike="noStrike" baseline="0">
              <a:solidFill>
                <a:srgbClr val="000000"/>
              </a:solidFill>
              <a:latin typeface="Calibri"/>
              <a:ea typeface="Calibri"/>
              <a:cs typeface="Calibri"/>
            </a:rPr>
            <a:t>           </a:t>
          </a:r>
          <a:fld id="{623745D1-064A-4416-B3ED-62C22D6C5964}" type="TxLink">
            <a:rPr lang="en-US" sz="1600" b="1" i="0" u="none" strike="noStrike">
              <a:solidFill>
                <a:srgbClr val="000000"/>
              </a:solidFill>
              <a:latin typeface="Calibri"/>
              <a:ea typeface="Calibri"/>
              <a:cs typeface="Calibri"/>
            </a:rPr>
            <a:pPr algn="ctr"/>
            <a:t> 5,55,000 </a:t>
          </a:fld>
          <a:endParaRPr lang="en-IN" sz="1600" b="1"/>
        </a:p>
      </xdr:txBody>
    </xdr:sp>
    <xdr:clientData/>
  </xdr:twoCellAnchor>
  <xdr:twoCellAnchor>
    <xdr:from>
      <xdr:col>11</xdr:col>
      <xdr:colOff>338665</xdr:colOff>
      <xdr:row>2</xdr:row>
      <xdr:rowOff>54427</xdr:rowOff>
    </xdr:from>
    <xdr:to>
      <xdr:col>13</xdr:col>
      <xdr:colOff>838199</xdr:colOff>
      <xdr:row>7</xdr:row>
      <xdr:rowOff>141514</xdr:rowOff>
    </xdr:to>
    <xdr:sp macro="" textlink="Sheet2!J24">
      <xdr:nvSpPr>
        <xdr:cNvPr id="7" name="Rectangle: Rounded Corners 6">
          <a:extLst>
            <a:ext uri="{FF2B5EF4-FFF2-40B4-BE49-F238E27FC236}">
              <a16:creationId xmlns:a16="http://schemas.microsoft.com/office/drawing/2014/main" id="{4F27A852-EEBA-4B30-BC48-2D90347A2F11}"/>
            </a:ext>
          </a:extLst>
        </xdr:cNvPr>
        <xdr:cNvSpPr/>
      </xdr:nvSpPr>
      <xdr:spPr>
        <a:xfrm>
          <a:off x="12040808" y="424541"/>
          <a:ext cx="2208591" cy="1012373"/>
        </a:xfrm>
        <a:prstGeom prst="roundRect">
          <a:avLst/>
        </a:prstGeom>
        <a:solidFill>
          <a:schemeClr val="bg1"/>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i="0" u="none" strike="noStrike">
              <a:solidFill>
                <a:srgbClr val="000000"/>
              </a:solidFill>
              <a:latin typeface="+mn-lt"/>
              <a:ea typeface="Calibri"/>
              <a:cs typeface="Calibri"/>
            </a:rPr>
            <a:t>🏆</a:t>
          </a:r>
          <a:r>
            <a:rPr lang="en-US" sz="1400" b="1" i="0" u="none" strike="noStrike">
              <a:solidFill>
                <a:srgbClr val="000000"/>
              </a:solidFill>
              <a:latin typeface="+mn-lt"/>
              <a:ea typeface="Calibri"/>
              <a:cs typeface="Calibri"/>
            </a:rPr>
            <a:t>Top Performer</a:t>
          </a:r>
        </a:p>
        <a:p>
          <a:pPr algn="ctr"/>
          <a:r>
            <a:rPr lang="en-US" sz="1100" b="0" i="0" u="none" strike="noStrike" baseline="0">
              <a:solidFill>
                <a:srgbClr val="000000"/>
              </a:solidFill>
              <a:latin typeface="Calibri"/>
              <a:ea typeface="Calibri"/>
              <a:cs typeface="Calibri"/>
            </a:rPr>
            <a:t>     </a:t>
          </a:r>
          <a:fld id="{029270CC-445D-44F7-B333-B884354E1417}" type="TxLink">
            <a:rPr lang="en-US" sz="1600" b="1" i="0" u="none" strike="noStrike">
              <a:solidFill>
                <a:srgbClr val="000000"/>
              </a:solidFill>
              <a:latin typeface="Calibri"/>
              <a:ea typeface="Calibri"/>
              <a:cs typeface="Calibri"/>
            </a:rPr>
            <a:pPr algn="ctr"/>
            <a:t>Megha</a:t>
          </a:fld>
          <a:endParaRPr lang="en-IN" sz="1600" b="1"/>
        </a:p>
      </xdr:txBody>
    </xdr:sp>
    <xdr:clientData/>
  </xdr:twoCellAnchor>
  <xdr:twoCellAnchor>
    <xdr:from>
      <xdr:col>14</xdr:col>
      <xdr:colOff>20562</xdr:colOff>
      <xdr:row>2</xdr:row>
      <xdr:rowOff>54429</xdr:rowOff>
    </xdr:from>
    <xdr:to>
      <xdr:col>16</xdr:col>
      <xdr:colOff>293915</xdr:colOff>
      <xdr:row>8</xdr:row>
      <xdr:rowOff>0</xdr:rowOff>
    </xdr:to>
    <xdr:sp macro="" textlink="Sheet2!L24">
      <xdr:nvSpPr>
        <xdr:cNvPr id="8" name="Rectangle: Rounded Corners 7">
          <a:extLst>
            <a:ext uri="{FF2B5EF4-FFF2-40B4-BE49-F238E27FC236}">
              <a16:creationId xmlns:a16="http://schemas.microsoft.com/office/drawing/2014/main" id="{5C489E69-8E1F-4418-B3F9-85BA98D65BEB}"/>
            </a:ext>
          </a:extLst>
        </xdr:cNvPr>
        <xdr:cNvSpPr/>
      </xdr:nvSpPr>
      <xdr:spPr>
        <a:xfrm>
          <a:off x="14346162" y="424543"/>
          <a:ext cx="2363410" cy="1055914"/>
        </a:xfrm>
        <a:prstGeom prst="roundRect">
          <a:avLst/>
        </a:prstGeom>
        <a:solidFill>
          <a:schemeClr val="bg1"/>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u="none" strike="noStrike">
              <a:solidFill>
                <a:srgbClr val="000000"/>
              </a:solidFill>
              <a:latin typeface="+mn-lt"/>
              <a:ea typeface="Calibri"/>
              <a:cs typeface="Calibri"/>
            </a:rPr>
            <a:t>📉</a:t>
          </a:r>
          <a:r>
            <a:rPr lang="en-US" sz="1400" b="1" i="0" u="none" strike="noStrike">
              <a:solidFill>
                <a:srgbClr val="000000"/>
              </a:solidFill>
              <a:latin typeface="+mn-lt"/>
              <a:ea typeface="Calibri"/>
              <a:cs typeface="Calibri"/>
            </a:rPr>
            <a:t>Lowest Performer</a:t>
          </a:r>
          <a:r>
            <a:rPr lang="en-US" sz="1400" b="1" i="0" u="none" strike="noStrike" baseline="0">
              <a:solidFill>
                <a:srgbClr val="000000"/>
              </a:solidFill>
              <a:latin typeface="Calibri"/>
              <a:ea typeface="Calibri"/>
              <a:cs typeface="Calibri"/>
            </a:rPr>
            <a:t> </a:t>
          </a:r>
        </a:p>
        <a:p>
          <a:pPr algn="ctr"/>
          <a:r>
            <a:rPr lang="en-US" sz="1100" b="0" i="0" u="none" strike="noStrike" baseline="0">
              <a:solidFill>
                <a:srgbClr val="000000"/>
              </a:solidFill>
              <a:latin typeface="Calibri"/>
              <a:ea typeface="Calibri"/>
              <a:cs typeface="Calibri"/>
            </a:rPr>
            <a:t>        </a:t>
          </a:r>
          <a:fld id="{53FE6C74-52BE-4864-8998-8DA30BDC433C}" type="TxLink">
            <a:rPr lang="en-US" sz="1600" b="1" i="0" u="none" strike="noStrike">
              <a:solidFill>
                <a:srgbClr val="000000"/>
              </a:solidFill>
              <a:latin typeface="Calibri"/>
              <a:ea typeface="Calibri"/>
              <a:cs typeface="Calibri"/>
            </a:rPr>
            <a:pPr algn="ctr"/>
            <a:t>Rohit</a:t>
          </a:fld>
          <a:endParaRPr lang="en-IN" sz="1600" b="1"/>
        </a:p>
      </xdr:txBody>
    </xdr:sp>
    <xdr:clientData/>
  </xdr:twoCellAnchor>
  <xdr:twoCellAnchor>
    <xdr:from>
      <xdr:col>12</xdr:col>
      <xdr:colOff>206828</xdr:colOff>
      <xdr:row>9</xdr:row>
      <xdr:rowOff>30237</xdr:rowOff>
    </xdr:from>
    <xdr:to>
      <xdr:col>19</xdr:col>
      <xdr:colOff>65315</xdr:colOff>
      <xdr:row>27</xdr:row>
      <xdr:rowOff>21771</xdr:rowOff>
    </xdr:to>
    <xdr:graphicFrame macro="">
      <xdr:nvGraphicFramePr>
        <xdr:cNvPr id="16" name="Chart 15">
          <a:extLst>
            <a:ext uri="{FF2B5EF4-FFF2-40B4-BE49-F238E27FC236}">
              <a16:creationId xmlns:a16="http://schemas.microsoft.com/office/drawing/2014/main" id="{1333ADA7-7879-0FE1-5AD3-54D9579D4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203199</xdr:colOff>
      <xdr:row>27</xdr:row>
      <xdr:rowOff>76199</xdr:rowOff>
    </xdr:from>
    <xdr:to>
      <xdr:col>18</xdr:col>
      <xdr:colOff>544285</xdr:colOff>
      <xdr:row>41</xdr:row>
      <xdr:rowOff>87086</xdr:rowOff>
    </xdr:to>
    <xdr:graphicFrame macro="">
      <xdr:nvGraphicFramePr>
        <xdr:cNvPr id="19" name="Chart 18">
          <a:extLst>
            <a:ext uri="{FF2B5EF4-FFF2-40B4-BE49-F238E27FC236}">
              <a16:creationId xmlns:a16="http://schemas.microsoft.com/office/drawing/2014/main" id="{45289C38-A955-4829-AEFA-0B0BFFE71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143931</xdr:colOff>
      <xdr:row>36</xdr:row>
      <xdr:rowOff>21772</xdr:rowOff>
    </xdr:from>
    <xdr:to>
      <xdr:col>9</xdr:col>
      <xdr:colOff>435425</xdr:colOff>
      <xdr:row>52</xdr:row>
      <xdr:rowOff>54429</xdr:rowOff>
    </xdr:to>
    <xdr:graphicFrame macro="">
      <xdr:nvGraphicFramePr>
        <xdr:cNvPr id="20" name="Chart 19">
          <a:extLst>
            <a:ext uri="{FF2B5EF4-FFF2-40B4-BE49-F238E27FC236}">
              <a16:creationId xmlns:a16="http://schemas.microsoft.com/office/drawing/2014/main" id="{CF242274-794F-47E2-A14A-179228CC5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493244</xdr:colOff>
      <xdr:row>44</xdr:row>
      <xdr:rowOff>43542</xdr:rowOff>
    </xdr:from>
    <xdr:to>
      <xdr:col>10</xdr:col>
      <xdr:colOff>1105989</xdr:colOff>
      <xdr:row>52</xdr:row>
      <xdr:rowOff>65313</xdr:rowOff>
    </xdr:to>
    <mc:AlternateContent xmlns:mc="http://schemas.openxmlformats.org/markup-compatibility/2006">
      <mc:Choice xmlns:a14="http://schemas.microsoft.com/office/drawing/2010/main" Requires="a14">
        <xdr:graphicFrame macro="">
          <xdr:nvGraphicFramePr>
            <xdr:cNvPr id="21" name="Department">
              <a:extLst>
                <a:ext uri="{FF2B5EF4-FFF2-40B4-BE49-F238E27FC236}">
                  <a16:creationId xmlns:a16="http://schemas.microsoft.com/office/drawing/2014/main" id="{7287DF96-E845-8798-ED1B-8191792AED6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548084" y="8684622"/>
              <a:ext cx="1770985" cy="1484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66160</xdr:colOff>
      <xdr:row>41</xdr:row>
      <xdr:rowOff>87086</xdr:rowOff>
    </xdr:from>
    <xdr:to>
      <xdr:col>0</xdr:col>
      <xdr:colOff>2188029</xdr:colOff>
      <xdr:row>52</xdr:row>
      <xdr:rowOff>0</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95331A94-22C1-76FB-8B45-E767AB2E12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160" y="8179526"/>
              <a:ext cx="2121869" cy="1924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557107</xdr:colOff>
      <xdr:row>36</xdr:row>
      <xdr:rowOff>45236</xdr:rowOff>
    </xdr:from>
    <xdr:to>
      <xdr:col>10</xdr:col>
      <xdr:colOff>1182189</xdr:colOff>
      <xdr:row>43</xdr:row>
      <xdr:rowOff>108858</xdr:rowOff>
    </xdr:to>
    <mc:AlternateContent xmlns:mc="http://schemas.openxmlformats.org/markup-compatibility/2006">
      <mc:Choice xmlns:a14="http://schemas.microsoft.com/office/drawing/2010/main" Requires="a14">
        <xdr:graphicFrame macro="">
          <xdr:nvGraphicFramePr>
            <xdr:cNvPr id="23" name="Manager">
              <a:extLst>
                <a:ext uri="{FF2B5EF4-FFF2-40B4-BE49-F238E27FC236}">
                  <a16:creationId xmlns:a16="http://schemas.microsoft.com/office/drawing/2014/main" id="{6F4BEBFB-DEB0-08BB-A9AB-9A9B9FE16E44}"/>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12611947" y="6766076"/>
              <a:ext cx="1783322" cy="1800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44631</xdr:colOff>
      <xdr:row>41</xdr:row>
      <xdr:rowOff>120832</xdr:rowOff>
    </xdr:from>
    <xdr:to>
      <xdr:col>2</xdr:col>
      <xdr:colOff>1055915</xdr:colOff>
      <xdr:row>51</xdr:row>
      <xdr:rowOff>108859</xdr:rowOff>
    </xdr:to>
    <mc:AlternateContent xmlns:mc="http://schemas.openxmlformats.org/markup-compatibility/2006">
      <mc:Choice xmlns:a14="http://schemas.microsoft.com/office/drawing/2010/main" Requires="a14">
        <xdr:graphicFrame macro="">
          <xdr:nvGraphicFramePr>
            <xdr:cNvPr id="3" name="Rating">
              <a:extLst>
                <a:ext uri="{FF2B5EF4-FFF2-40B4-BE49-F238E27FC236}">
                  <a16:creationId xmlns:a16="http://schemas.microsoft.com/office/drawing/2014/main" id="{0FB2EE91-041A-AC84-DCBA-101D0C74FF76}"/>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2361111" y="8213272"/>
              <a:ext cx="2108564" cy="1816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7.103598495371" createdVersion="8" refreshedVersion="8" minRefreshableVersion="3" recordCount="15" xr:uid="{1B7FA9DC-5C85-474F-B0FC-95A356B38ECB}">
  <cacheSource type="worksheet">
    <worksheetSource name="Table1"/>
  </cacheSource>
  <cacheFields count="17">
    <cacheField name="Emp ID" numFmtId="0">
      <sharedItems/>
    </cacheField>
    <cacheField name="Employee" numFmtId="0">
      <sharedItems count="13">
        <s v="Aman"/>
        <s v="Riya"/>
        <s v="Karan"/>
        <s v="Priya"/>
        <s v="Ankit"/>
        <s v="Shreya"/>
        <s v="Rohit"/>
        <s v="Megha"/>
        <s v="Unknown"/>
        <s v="Arjun"/>
        <s v="Neha"/>
        <s v="Vikas"/>
        <s v="Kunal"/>
      </sharedItems>
    </cacheField>
    <cacheField name="Department" numFmtId="0">
      <sharedItems count="4">
        <s v="Sales"/>
        <s v="Marketing"/>
        <s v="Finance"/>
        <s v="Purchase"/>
      </sharedItems>
    </cacheField>
    <cacheField name="Region" numFmtId="0">
      <sharedItems count="5">
        <s v="North"/>
        <s v="South"/>
        <s v="West"/>
        <s v="East"/>
        <s v="Nrth"/>
      </sharedItems>
    </cacheField>
    <cacheField name="Join Date" numFmtId="15">
      <sharedItems containsSemiMixedTypes="0" containsNonDate="0" containsDate="1" containsString="0" minDate="2024-01-01T00:00:00" maxDate="2025-01-16T00:00:00" count="13">
        <d v="2024-01-01T00:00:00"/>
        <d v="2024-02-15T00:00:00"/>
        <d v="2024-03-10T00:00:00"/>
        <d v="2024-04-20T00:00:00"/>
        <d v="2024-05-05T00:00:00"/>
        <d v="2024-06-12T00:00:00"/>
        <d v="2024-07-18T00:00:00"/>
        <d v="2024-08-22T00:00:00"/>
        <d v="2024-09-10T00:00:00"/>
        <d v="2024-10-15T00:00:00"/>
        <d v="2024-11-05T00:00:00"/>
        <d v="2024-12-01T00:00:00"/>
        <d v="2025-01-15T00:00:00"/>
      </sharedItems>
      <fieldGroup par="16"/>
    </cacheField>
    <cacheField name="Target" numFmtId="0">
      <sharedItems containsSemiMixedTypes="0" containsString="0" containsNumber="1" containsInteger="1" minValue="70000" maxValue="130000"/>
    </cacheField>
    <cacheField name="Achieved" numFmtId="0">
      <sharedItems containsMixedTypes="1" containsNumber="1" containsInteger="1" minValue="68000" maxValue="140000" count="13">
        <n v="95000"/>
        <n v="125000"/>
        <n v="75000"/>
        <n v="92000"/>
        <n v="105000"/>
        <n v="98000"/>
        <n v="70000"/>
        <n v="140000"/>
        <n v="68000"/>
        <s v="-"/>
        <n v="82000"/>
        <n v="102000"/>
        <n v="110000"/>
      </sharedItems>
    </cacheField>
    <cacheField name="Salary" numFmtId="0">
      <sharedItems containsSemiMixedTypes="0" containsString="0" containsNumber="1" containsInteger="1" minValue="30000" maxValue="45000"/>
    </cacheField>
    <cacheField name="Ach%" numFmtId="10">
      <sharedItems containsMixedTypes="1" containsNumber="1" minValue="0.82352941176470584" maxValue="1.0769230769230769" count="13">
        <n v="0.95"/>
        <n v="1.0416666666666667"/>
        <n v="0.9375"/>
        <n v="1.0222222222222221"/>
        <n v="0.95454545454545459"/>
        <n v="1.0315789473684212"/>
        <n v="0.82352941176470584"/>
        <n v="1.0769230769230769"/>
        <n v="0.97142857142857142"/>
        <s v="-"/>
        <n v="1.0249999999999999"/>
        <n v="1.02"/>
        <n v="0.91666666666666663"/>
      </sharedItems>
    </cacheField>
    <cacheField name="Rating" numFmtId="10">
      <sharedItems count="3">
        <s v="Good"/>
        <s v="Excellent"/>
        <s v="Poor"/>
      </sharedItems>
    </cacheField>
    <cacheField name="Bonus " numFmtId="1">
      <sharedItems containsSemiMixedTypes="0" containsString="0" containsNumber="1" containsInteger="1" minValue="0" maxValue="4500"/>
    </cacheField>
    <cacheField name="Manager" numFmtId="0">
      <sharedItems count="5">
        <s v="Raj"/>
        <s v="Neha"/>
        <s v="Vikas"/>
        <s v="Sunil"/>
        <s v="-"/>
      </sharedItems>
    </cacheField>
    <cacheField name="Ach_%" numFmtId="0" formula="Achieved/Target" databaseField="0"/>
    <cacheField name="achi%" numFmtId="0" formula="Achieved/Target" databaseField="0"/>
    <cacheField name="Months (Join Date)" numFmtId="0" databaseField="0">
      <fieldGroup base="4">
        <rangePr groupBy="months" startDate="2024-01-01T00:00:00" endDate="2025-01-16T00:00:00"/>
        <groupItems count="14">
          <s v="&lt;01-01-2024"/>
          <s v="Jan"/>
          <s v="Feb"/>
          <s v="Mar"/>
          <s v="Apr"/>
          <s v="May"/>
          <s v="Jun"/>
          <s v="Jul"/>
          <s v="Aug"/>
          <s v="Sep"/>
          <s v="Oct"/>
          <s v="Nov"/>
          <s v="Dec"/>
          <s v="&gt;16-01-2025"/>
        </groupItems>
      </fieldGroup>
    </cacheField>
    <cacheField name="Quarters (Join Date)" numFmtId="0" databaseField="0">
      <fieldGroup base="4">
        <rangePr groupBy="quarters" startDate="2024-01-01T00:00:00" endDate="2025-01-16T00:00:00"/>
        <groupItems count="6">
          <s v="&lt;01-01-2024"/>
          <s v="Qtr1"/>
          <s v="Qtr2"/>
          <s v="Qtr3"/>
          <s v="Qtr4"/>
          <s v="&gt;16-01-2025"/>
        </groupItems>
      </fieldGroup>
    </cacheField>
    <cacheField name="Years (Join Date)" numFmtId="0" databaseField="0">
      <fieldGroup base="4">
        <rangePr groupBy="years" startDate="2024-01-01T00:00:00" endDate="2025-01-16T00:00:00"/>
        <groupItems count="4">
          <s v="&lt;01-01-2024"/>
          <s v="2024"/>
          <s v="2025"/>
          <s v="&gt;16-01-2025"/>
        </groupItems>
      </fieldGroup>
    </cacheField>
  </cacheFields>
  <extLst>
    <ext xmlns:x14="http://schemas.microsoft.com/office/spreadsheetml/2009/9/main" uri="{725AE2AE-9491-48be-B2B4-4EB974FC3084}">
      <x14:pivotCacheDefinition pivotCacheId="890719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E101"/>
    <x v="0"/>
    <x v="0"/>
    <x v="0"/>
    <x v="0"/>
    <n v="100000"/>
    <x v="0"/>
    <n v="35000"/>
    <x v="0"/>
    <x v="0"/>
    <n v="1750"/>
    <x v="0"/>
  </r>
  <r>
    <s v="E102"/>
    <x v="1"/>
    <x v="0"/>
    <x v="1"/>
    <x v="1"/>
    <n v="120000"/>
    <x v="1"/>
    <n v="38000"/>
    <x v="1"/>
    <x v="1"/>
    <n v="3800"/>
    <x v="0"/>
  </r>
  <r>
    <s v="E103"/>
    <x v="2"/>
    <x v="1"/>
    <x v="2"/>
    <x v="2"/>
    <n v="80000"/>
    <x v="2"/>
    <n v="32000"/>
    <x v="2"/>
    <x v="0"/>
    <n v="1600"/>
    <x v="1"/>
  </r>
  <r>
    <s v="E104"/>
    <x v="3"/>
    <x v="2"/>
    <x v="3"/>
    <x v="3"/>
    <n v="90000"/>
    <x v="3"/>
    <n v="40000"/>
    <x v="3"/>
    <x v="1"/>
    <n v="4000"/>
    <x v="2"/>
  </r>
  <r>
    <s v="E105"/>
    <x v="0"/>
    <x v="0"/>
    <x v="0"/>
    <x v="0"/>
    <n v="100000"/>
    <x v="0"/>
    <n v="35000"/>
    <x v="0"/>
    <x v="0"/>
    <n v="1750"/>
    <x v="0"/>
  </r>
  <r>
    <s v="E106"/>
    <x v="4"/>
    <x v="0"/>
    <x v="4"/>
    <x v="4"/>
    <n v="110000"/>
    <x v="4"/>
    <n v="36000"/>
    <x v="4"/>
    <x v="0"/>
    <n v="1800"/>
    <x v="0"/>
  </r>
  <r>
    <s v="E107"/>
    <x v="5"/>
    <x v="2"/>
    <x v="3"/>
    <x v="5"/>
    <n v="95000"/>
    <x v="5"/>
    <n v="41000"/>
    <x v="5"/>
    <x v="1"/>
    <n v="4100"/>
    <x v="2"/>
  </r>
  <r>
    <s v="E108"/>
    <x v="6"/>
    <x v="1"/>
    <x v="2"/>
    <x v="6"/>
    <n v="85000"/>
    <x v="6"/>
    <n v="33000"/>
    <x v="6"/>
    <x v="2"/>
    <n v="0"/>
    <x v="1"/>
  </r>
  <r>
    <s v="E109"/>
    <x v="7"/>
    <x v="0"/>
    <x v="1"/>
    <x v="7"/>
    <n v="130000"/>
    <x v="7"/>
    <n v="39000"/>
    <x v="7"/>
    <x v="1"/>
    <n v="3900"/>
    <x v="0"/>
  </r>
  <r>
    <s v="E110"/>
    <x v="8"/>
    <x v="3"/>
    <x v="0"/>
    <x v="8"/>
    <n v="70000"/>
    <x v="8"/>
    <n v="30000"/>
    <x v="8"/>
    <x v="0"/>
    <n v="1500"/>
    <x v="3"/>
  </r>
  <r>
    <s v="E111"/>
    <x v="9"/>
    <x v="2"/>
    <x v="3"/>
    <x v="9"/>
    <n v="90000"/>
    <x v="9"/>
    <n v="42000"/>
    <x v="9"/>
    <x v="1"/>
    <n v="4200"/>
    <x v="2"/>
  </r>
  <r>
    <s v="E112"/>
    <x v="10"/>
    <x v="1"/>
    <x v="2"/>
    <x v="10"/>
    <n v="80000"/>
    <x v="10"/>
    <n v="34000"/>
    <x v="10"/>
    <x v="1"/>
    <n v="3400"/>
    <x v="4"/>
  </r>
  <r>
    <s v="E113"/>
    <x v="11"/>
    <x v="2"/>
    <x v="3"/>
    <x v="11"/>
    <n v="100000"/>
    <x v="11"/>
    <n v="45000"/>
    <x v="11"/>
    <x v="1"/>
    <n v="4500"/>
    <x v="2"/>
  </r>
  <r>
    <s v="E114"/>
    <x v="12"/>
    <x v="0"/>
    <x v="0"/>
    <x v="12"/>
    <n v="120000"/>
    <x v="12"/>
    <n v="37000"/>
    <x v="12"/>
    <x v="0"/>
    <n v="1850"/>
    <x v="0"/>
  </r>
  <r>
    <s v="E115"/>
    <x v="1"/>
    <x v="0"/>
    <x v="1"/>
    <x v="1"/>
    <n v="120000"/>
    <x v="1"/>
    <n v="38000"/>
    <x v="1"/>
    <x v="1"/>
    <n v="38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D2A798-2B6B-4199-B7AD-E2FCE5E241A5}" name="PivotTable8"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H30:K35" firstHeaderRow="1" firstDataRow="1" firstDataCol="3"/>
  <pivotFields count="17">
    <pivotField compact="0" outline="0" showAll="0" defaultSubtotal="0"/>
    <pivotField axis="axisRow" compact="0" outline="0" showAll="0" measureFilter="1" sortType="descending" defaultSubtotal="0">
      <items count="13">
        <item x="11"/>
        <item x="8"/>
        <item x="5"/>
        <item x="6"/>
        <item x="1"/>
        <item x="10"/>
        <item x="7"/>
        <item x="12"/>
        <item x="2"/>
        <item x="9"/>
        <item x="4"/>
        <item x="0"/>
        <item x="3"/>
      </items>
    </pivotField>
    <pivotField axis="axisRow" compact="0" outline="0" showAll="0" defaultSubtotal="0">
      <items count="4">
        <item x="2"/>
        <item x="1"/>
        <item x="3"/>
        <item x="0"/>
      </items>
    </pivotField>
    <pivotField compact="0" outline="0" showAll="0" defaultSubtotal="0"/>
    <pivotField compact="0" numFmtId="15" outline="0" showAll="0" defaultSubtotal="0">
      <items count="13">
        <item x="0"/>
        <item x="1"/>
        <item x="2"/>
        <item x="3"/>
        <item x="4"/>
        <item x="5"/>
        <item x="6"/>
        <item x="7"/>
        <item x="8"/>
        <item x="9"/>
        <item x="10"/>
        <item x="11"/>
        <item x="12"/>
      </items>
    </pivotField>
    <pivotField compact="0" outline="0" showAll="0" defaultSubtotal="0"/>
    <pivotField axis="axisRow" compact="0" outline="0" showAll="0" defaultSubtotal="0">
      <items count="13">
        <item x="8"/>
        <item x="6"/>
        <item x="2"/>
        <item x="10"/>
        <item x="3"/>
        <item x="0"/>
        <item x="5"/>
        <item x="11"/>
        <item x="4"/>
        <item x="12"/>
        <item x="1"/>
        <item x="7"/>
        <item x="9"/>
      </items>
    </pivotField>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dataField="1" compact="0" outline="0" dragToRow="0" dragToCol="0" dragToPage="0" showAll="0" defaultSubtotal="0"/>
    <pivotField compact="0" outline="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4">
        <item x="0"/>
        <item x="1"/>
        <item x="2"/>
        <item x="3"/>
      </items>
    </pivotField>
  </pivotFields>
  <rowFields count="3">
    <field x="1"/>
    <field x="2"/>
    <field x="6"/>
  </rowFields>
  <rowItems count="5">
    <i>
      <x v="2"/>
      <x/>
      <x v="6"/>
    </i>
    <i>
      <x v="4"/>
      <x v="3"/>
      <x v="10"/>
    </i>
    <i>
      <x v="5"/>
      <x v="1"/>
      <x v="3"/>
    </i>
    <i>
      <x v="6"/>
      <x v="3"/>
      <x v="11"/>
    </i>
    <i>
      <x v="12"/>
      <x/>
      <x v="4"/>
    </i>
  </rowItems>
  <colItems count="1">
    <i/>
  </colItems>
  <dataFields count="1">
    <dataField name="Sum of Ach_%" fld="12" baseField="0" baseItem="0" numFmtId="10"/>
  </dataFields>
  <formats count="33">
    <format dxfId="147">
      <pivotArea outline="0" collapsedLevelsAreSubtotals="1" fieldPosition="0"/>
    </format>
    <format dxfId="146">
      <pivotArea dataOnly="0" labelOnly="1" outline="0" fieldPosition="0">
        <references count="3">
          <reference field="1" count="1" selected="0">
            <x v="2"/>
          </reference>
          <reference field="2" count="1" selected="0">
            <x v="0"/>
          </reference>
          <reference field="6" count="1">
            <x v="6"/>
          </reference>
        </references>
      </pivotArea>
    </format>
    <format dxfId="145">
      <pivotArea dataOnly="0" labelOnly="1" outline="0" fieldPosition="0">
        <references count="3">
          <reference field="1" count="1" selected="0">
            <x v="4"/>
          </reference>
          <reference field="2" count="1" selected="0">
            <x v="3"/>
          </reference>
          <reference field="6" count="1">
            <x v="10"/>
          </reference>
        </references>
      </pivotArea>
    </format>
    <format dxfId="144">
      <pivotArea dataOnly="0" labelOnly="1" outline="0" fieldPosition="0">
        <references count="3">
          <reference field="1" count="1" selected="0">
            <x v="5"/>
          </reference>
          <reference field="2" count="1" selected="0">
            <x v="1"/>
          </reference>
          <reference field="6" count="1">
            <x v="3"/>
          </reference>
        </references>
      </pivotArea>
    </format>
    <format dxfId="143">
      <pivotArea dataOnly="0" labelOnly="1" outline="0" fieldPosition="0">
        <references count="3">
          <reference field="1" count="1" selected="0">
            <x v="6"/>
          </reference>
          <reference field="2" count="1" selected="0">
            <x v="3"/>
          </reference>
          <reference field="6" count="1">
            <x v="11"/>
          </reference>
        </references>
      </pivotArea>
    </format>
    <format dxfId="142">
      <pivotArea dataOnly="0" labelOnly="1" outline="0" fieldPosition="0">
        <references count="3">
          <reference field="1" count="1" selected="0">
            <x v="12"/>
          </reference>
          <reference field="2" count="1" selected="0">
            <x v="0"/>
          </reference>
          <reference field="6" count="1">
            <x v="4"/>
          </reference>
        </references>
      </pivotArea>
    </format>
    <format dxfId="141">
      <pivotArea outline="0" collapsedLevelsAreSubtotals="1" fieldPosition="0"/>
    </format>
    <format dxfId="140">
      <pivotArea outline="0" collapsedLevelsAreSubtotals="1" fieldPosition="0"/>
    </format>
    <format dxfId="139">
      <pivotArea outline="0" collapsedLevelsAreSubtotals="1" fieldPosition="0"/>
    </format>
    <format dxfId="117">
      <pivotArea outline="0" collapsedLevelsAreSubtotals="1" fieldPosition="0"/>
    </format>
    <format dxfId="116">
      <pivotArea dataOnly="0" labelOnly="1" outline="0" fieldPosition="0">
        <references count="1">
          <reference field="1" count="5">
            <x v="2"/>
            <x v="4"/>
            <x v="5"/>
            <x v="6"/>
            <x v="12"/>
          </reference>
        </references>
      </pivotArea>
    </format>
    <format dxfId="115">
      <pivotArea dataOnly="0" labelOnly="1" outline="0" fieldPosition="0">
        <references count="2">
          <reference field="1" count="1" selected="0">
            <x v="2"/>
          </reference>
          <reference field="2" count="1">
            <x v="0"/>
          </reference>
        </references>
      </pivotArea>
    </format>
    <format dxfId="114">
      <pivotArea dataOnly="0" labelOnly="1" outline="0" fieldPosition="0">
        <references count="2">
          <reference field="1" count="1" selected="0">
            <x v="4"/>
          </reference>
          <reference field="2" count="1">
            <x v="3"/>
          </reference>
        </references>
      </pivotArea>
    </format>
    <format dxfId="113">
      <pivotArea dataOnly="0" labelOnly="1" outline="0" fieldPosition="0">
        <references count="2">
          <reference field="1" count="1" selected="0">
            <x v="5"/>
          </reference>
          <reference field="2" count="1">
            <x v="1"/>
          </reference>
        </references>
      </pivotArea>
    </format>
    <format dxfId="112">
      <pivotArea dataOnly="0" labelOnly="1" outline="0" fieldPosition="0">
        <references count="2">
          <reference field="1" count="1" selected="0">
            <x v="6"/>
          </reference>
          <reference field="2" count="1">
            <x v="3"/>
          </reference>
        </references>
      </pivotArea>
    </format>
    <format dxfId="111">
      <pivotArea dataOnly="0" labelOnly="1" outline="0" fieldPosition="0">
        <references count="2">
          <reference field="1" count="1" selected="0">
            <x v="12"/>
          </reference>
          <reference field="2" count="1">
            <x v="0"/>
          </reference>
        </references>
      </pivotArea>
    </format>
    <format dxfId="110">
      <pivotArea dataOnly="0" labelOnly="1" outline="0" fieldPosition="0">
        <references count="3">
          <reference field="1" count="1" selected="0">
            <x v="2"/>
          </reference>
          <reference field="2" count="1" selected="0">
            <x v="0"/>
          </reference>
          <reference field="6" count="1">
            <x v="6"/>
          </reference>
        </references>
      </pivotArea>
    </format>
    <format dxfId="109">
      <pivotArea dataOnly="0" labelOnly="1" outline="0" fieldPosition="0">
        <references count="3">
          <reference field="1" count="1" selected="0">
            <x v="4"/>
          </reference>
          <reference field="2" count="1" selected="0">
            <x v="3"/>
          </reference>
          <reference field="6" count="1">
            <x v="10"/>
          </reference>
        </references>
      </pivotArea>
    </format>
    <format dxfId="108">
      <pivotArea dataOnly="0" labelOnly="1" outline="0" fieldPosition="0">
        <references count="3">
          <reference field="1" count="1" selected="0">
            <x v="5"/>
          </reference>
          <reference field="2" count="1" selected="0">
            <x v="1"/>
          </reference>
          <reference field="6" count="1">
            <x v="3"/>
          </reference>
        </references>
      </pivotArea>
    </format>
    <format dxfId="107">
      <pivotArea dataOnly="0" labelOnly="1" outline="0" fieldPosition="0">
        <references count="3">
          <reference field="1" count="1" selected="0">
            <x v="6"/>
          </reference>
          <reference field="2" count="1" selected="0">
            <x v="3"/>
          </reference>
          <reference field="6" count="1">
            <x v="11"/>
          </reference>
        </references>
      </pivotArea>
    </format>
    <format dxfId="106">
      <pivotArea dataOnly="0" labelOnly="1" outline="0" fieldPosition="0">
        <references count="3">
          <reference field="1" count="1" selected="0">
            <x v="12"/>
          </reference>
          <reference field="2" count="1" selected="0">
            <x v="0"/>
          </reference>
          <reference field="6" count="1">
            <x v="4"/>
          </reference>
        </references>
      </pivotArea>
    </format>
    <format dxfId="103">
      <pivotArea outline="0" collapsedLevelsAreSubtotals="1" fieldPosition="0"/>
    </format>
    <format dxfId="102">
      <pivotArea dataOnly="0" labelOnly="1" outline="0" fieldPosition="0">
        <references count="1">
          <reference field="1" count="5">
            <x v="2"/>
            <x v="4"/>
            <x v="5"/>
            <x v="6"/>
            <x v="12"/>
          </reference>
        </references>
      </pivotArea>
    </format>
    <format dxfId="101">
      <pivotArea dataOnly="0" labelOnly="1" outline="0" fieldPosition="0">
        <references count="2">
          <reference field="1" count="1" selected="0">
            <x v="2"/>
          </reference>
          <reference field="2" count="1">
            <x v="0"/>
          </reference>
        </references>
      </pivotArea>
    </format>
    <format dxfId="100">
      <pivotArea dataOnly="0" labelOnly="1" outline="0" fieldPosition="0">
        <references count="2">
          <reference field="1" count="1" selected="0">
            <x v="4"/>
          </reference>
          <reference field="2" count="1">
            <x v="3"/>
          </reference>
        </references>
      </pivotArea>
    </format>
    <format dxfId="99">
      <pivotArea dataOnly="0" labelOnly="1" outline="0" fieldPosition="0">
        <references count="2">
          <reference field="1" count="1" selected="0">
            <x v="5"/>
          </reference>
          <reference field="2" count="1">
            <x v="1"/>
          </reference>
        </references>
      </pivotArea>
    </format>
    <format dxfId="98">
      <pivotArea dataOnly="0" labelOnly="1" outline="0" fieldPosition="0">
        <references count="2">
          <reference field="1" count="1" selected="0">
            <x v="6"/>
          </reference>
          <reference field="2" count="1">
            <x v="3"/>
          </reference>
        </references>
      </pivotArea>
    </format>
    <format dxfId="97">
      <pivotArea dataOnly="0" labelOnly="1" outline="0" fieldPosition="0">
        <references count="2">
          <reference field="1" count="1" selected="0">
            <x v="12"/>
          </reference>
          <reference field="2" count="1">
            <x v="0"/>
          </reference>
        </references>
      </pivotArea>
    </format>
    <format dxfId="96">
      <pivotArea dataOnly="0" labelOnly="1" outline="0" fieldPosition="0">
        <references count="3">
          <reference field="1" count="1" selected="0">
            <x v="2"/>
          </reference>
          <reference field="2" count="1" selected="0">
            <x v="0"/>
          </reference>
          <reference field="6" count="1">
            <x v="6"/>
          </reference>
        </references>
      </pivotArea>
    </format>
    <format dxfId="95">
      <pivotArea dataOnly="0" labelOnly="1" outline="0" fieldPosition="0">
        <references count="3">
          <reference field="1" count="1" selected="0">
            <x v="4"/>
          </reference>
          <reference field="2" count="1" selected="0">
            <x v="3"/>
          </reference>
          <reference field="6" count="1">
            <x v="10"/>
          </reference>
        </references>
      </pivotArea>
    </format>
    <format dxfId="94">
      <pivotArea dataOnly="0" labelOnly="1" outline="0" fieldPosition="0">
        <references count="3">
          <reference field="1" count="1" selected="0">
            <x v="5"/>
          </reference>
          <reference field="2" count="1" selected="0">
            <x v="1"/>
          </reference>
          <reference field="6" count="1">
            <x v="3"/>
          </reference>
        </references>
      </pivotArea>
    </format>
    <format dxfId="93">
      <pivotArea dataOnly="0" labelOnly="1" outline="0" fieldPosition="0">
        <references count="3">
          <reference field="1" count="1" selected="0">
            <x v="6"/>
          </reference>
          <reference field="2" count="1" selected="0">
            <x v="3"/>
          </reference>
          <reference field="6" count="1">
            <x v="11"/>
          </reference>
        </references>
      </pivotArea>
    </format>
    <format dxfId="92">
      <pivotArea dataOnly="0" labelOnly="1" outline="0" fieldPosition="0">
        <references count="3">
          <reference field="1" count="1" selected="0">
            <x v="12"/>
          </reference>
          <reference field="2" count="1" selected="0">
            <x v="0"/>
          </reference>
          <reference field="6" count="1">
            <x v="4"/>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EBB4B4-DC6D-48CF-891E-0BCB88317B56}"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0:G35" firstHeaderRow="1" firstDataRow="1" firstDataCol="1"/>
  <pivotFields count="17">
    <pivotField compact="0" outline="0" showAll="0"/>
    <pivotField compact="0" outline="0" showAll="0"/>
    <pivotField axis="axisRow" compact="0" outline="0" showAll="0">
      <items count="5">
        <item x="2"/>
        <item x="1"/>
        <item x="3"/>
        <item x="0"/>
        <item t="default"/>
      </items>
    </pivotField>
    <pivotField compact="0" outline="0" showAll="0"/>
    <pivotField compact="0" numFmtId="15" outline="0" showAll="0">
      <items count="14">
        <item x="0"/>
        <item x="1"/>
        <item x="2"/>
        <item x="3"/>
        <item x="4"/>
        <item x="5"/>
        <item x="6"/>
        <item x="7"/>
        <item x="8"/>
        <item x="9"/>
        <item x="10"/>
        <item x="11"/>
        <item x="12"/>
        <item t="default"/>
      </items>
    </pivotField>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5">
    <i>
      <x/>
    </i>
    <i>
      <x v="1"/>
    </i>
    <i>
      <x v="2"/>
    </i>
    <i>
      <x v="3"/>
    </i>
    <i t="grand">
      <x/>
    </i>
  </rowItems>
  <colItems count="1">
    <i/>
  </colItems>
  <formats count="4">
    <format dxfId="105">
      <pivotArea dataOnly="0" labelOnly="1" outline="0" fieldPosition="0">
        <references count="1">
          <reference field="2" count="0"/>
        </references>
      </pivotArea>
    </format>
    <format dxfId="104">
      <pivotArea dataOnly="0" labelOnly="1" grandRow="1" outline="0" fieldPosition="0"/>
    </format>
    <format dxfId="91">
      <pivotArea dataOnly="0" labelOnly="1" outline="0" fieldPosition="0">
        <references count="1">
          <reference field="2" count="0"/>
        </references>
      </pivotArea>
    </format>
    <format dxfId="9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70A645-F074-43B4-821B-6C2A517AD4A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epartment">
  <location ref="A30:E35" firstHeaderRow="0" firstDataRow="1" firstDataCol="1"/>
  <pivotFields count="17">
    <pivotField showAll="0"/>
    <pivotField dataField="1" showAll="0"/>
    <pivotField axis="axisRow" showAll="0" sortType="ascending">
      <items count="5">
        <item x="2"/>
        <item x="1"/>
        <item x="3"/>
        <item x="0"/>
        <item t="default"/>
      </items>
    </pivotField>
    <pivotField showAll="0">
      <items count="6">
        <item x="3"/>
        <item x="0"/>
        <item x="4"/>
        <item x="1"/>
        <item x="2"/>
        <item t="default"/>
      </items>
    </pivotField>
    <pivotField numFmtId="15" showAll="0">
      <items count="14">
        <item x="0"/>
        <item x="1"/>
        <item x="2"/>
        <item x="3"/>
        <item x="4"/>
        <item x="5"/>
        <item x="6"/>
        <item x="7"/>
        <item x="8"/>
        <item x="9"/>
        <item x="10"/>
        <item x="11"/>
        <item x="12"/>
        <item t="default"/>
      </items>
    </pivotField>
    <pivotField dataField="1" showAll="0"/>
    <pivotField dataField="1" showAll="0">
      <items count="14">
        <item x="8"/>
        <item x="6"/>
        <item x="2"/>
        <item x="10"/>
        <item x="3"/>
        <item x="0"/>
        <item x="5"/>
        <item x="11"/>
        <item x="4"/>
        <item x="12"/>
        <item x="1"/>
        <item x="7"/>
        <item x="9"/>
        <item t="default"/>
      </items>
    </pivotField>
    <pivotField showAll="0"/>
    <pivotField showAll="0">
      <items count="14">
        <item x="6"/>
        <item x="12"/>
        <item x="2"/>
        <item x="0"/>
        <item x="4"/>
        <item x="8"/>
        <item x="11"/>
        <item x="3"/>
        <item x="10"/>
        <item x="5"/>
        <item x="1"/>
        <item x="7"/>
        <item x="9"/>
        <item t="default"/>
      </items>
    </pivotField>
    <pivotField showAll="0">
      <items count="4">
        <item x="1"/>
        <item x="0"/>
        <item x="2"/>
        <item t="default"/>
      </items>
    </pivotField>
    <pivotField numFmtId="1" showAll="0"/>
    <pivotField showAll="0">
      <items count="6">
        <item x="4"/>
        <item x="1"/>
        <item x="0"/>
        <item x="3"/>
        <item x="2"/>
        <item t="default"/>
      </items>
    </pivotField>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Fields count="1">
    <field x="-2"/>
  </colFields>
  <colItems count="4">
    <i>
      <x/>
    </i>
    <i i="1">
      <x v="1"/>
    </i>
    <i i="2">
      <x v="2"/>
    </i>
    <i i="3">
      <x v="3"/>
    </i>
  </colItems>
  <dataFields count="4">
    <dataField name="Employees" fld="1" subtotal="count" baseField="0" baseItem="0"/>
    <dataField name="Total Target" fld="5" baseField="0" baseItem="0" numFmtId="164"/>
    <dataField name="Total Achieved" fld="6" baseField="2" baseItem="0" numFmtId="164"/>
    <dataField name="Sum of Ach_%" fld="12" baseField="0" baseItem="0" numFmtId="10"/>
  </dataFields>
  <formats count="16">
    <format dxfId="0">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 dxfId="3">
      <pivotArea type="all" dataOnly="0" outline="0" fieldPosition="0"/>
    </format>
    <format dxfId="4">
      <pivotArea outline="0" collapsedLevelsAreSubtotals="1" fieldPosition="0"/>
    </format>
    <format dxfId="5">
      <pivotArea field="2" type="button" dataOnly="0" labelOnly="1" outline="0" axis="axisRow" fieldPosition="0"/>
    </format>
    <format dxfId="6">
      <pivotArea dataOnly="0" labelOnly="1" fieldPosition="0">
        <references count="1">
          <reference field="2" count="0"/>
        </references>
      </pivotArea>
    </format>
    <format dxfId="7">
      <pivotArea dataOnly="0" labelOnly="1" grandRow="1" outline="0" fieldPosition="0"/>
    </format>
    <format dxfId="8">
      <pivotArea dataOnly="0" labelOnly="1" outline="0" fieldPosition="0">
        <references count="1">
          <reference field="4294967294" count="4">
            <x v="0"/>
            <x v="1"/>
            <x v="2"/>
            <x v="3"/>
          </reference>
        </references>
      </pivotArea>
    </format>
    <format dxfId="9">
      <pivotArea type="all" dataOnly="0" outline="0" fieldPosition="0"/>
    </format>
    <format dxfId="10">
      <pivotArea outline="0" collapsedLevelsAreSubtotals="1" fieldPosition="0"/>
    </format>
    <format dxfId="11">
      <pivotArea field="2" type="button" dataOnly="0" labelOnly="1" outline="0" axis="axisRow" fieldPosition="0"/>
    </format>
    <format dxfId="12">
      <pivotArea dataOnly="0" labelOnly="1" fieldPosition="0">
        <references count="1">
          <reference field="2" count="0"/>
        </references>
      </pivotArea>
    </format>
    <format dxfId="13">
      <pivotArea dataOnly="0" labelOnly="1" grandRow="1" outline="0" fieldPosition="0"/>
    </format>
    <format dxfId="14">
      <pivotArea dataOnly="0" labelOnly="1" outline="0" fieldPosition="0">
        <references count="1">
          <reference field="4294967294" count="4">
            <x v="0"/>
            <x v="1"/>
            <x v="2"/>
            <x v="3"/>
          </reference>
        </references>
      </pivotArea>
    </format>
    <format dxfId="15">
      <pivotArea collapsedLevelsAreSubtotals="1" fieldPosition="0">
        <references count="2">
          <reference field="4294967294" count="1" selected="0">
            <x v="3"/>
          </reference>
          <reference field="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A50CA5-D273-454C-BEF5-9AE440F80F2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9:E45" firstHeaderRow="1" firstDataRow="1" firstDataCol="1"/>
  <pivotFields count="17">
    <pivotField showAll="0"/>
    <pivotField dataField="1" showAll="0"/>
    <pivotField showAll="0">
      <items count="5">
        <item x="2"/>
        <item x="1"/>
        <item x="3"/>
        <item x="0"/>
        <item t="default"/>
      </items>
    </pivotField>
    <pivotField axis="axisRow" showAll="0">
      <items count="6">
        <item x="3"/>
        <item x="0"/>
        <item x="4"/>
        <item x="1"/>
        <item x="2"/>
        <item t="default"/>
      </items>
    </pivotField>
    <pivotField numFmtId="15" showAll="0">
      <items count="14">
        <item x="0"/>
        <item x="1"/>
        <item x="2"/>
        <item x="3"/>
        <item x="4"/>
        <item x="5"/>
        <item x="6"/>
        <item x="7"/>
        <item x="8"/>
        <item x="9"/>
        <item x="10"/>
        <item x="11"/>
        <item x="12"/>
        <item t="default"/>
      </items>
    </pivotField>
    <pivotField showAll="0"/>
    <pivotField showAll="0"/>
    <pivotField showAll="0"/>
    <pivotField showAll="0"/>
    <pivotField showAll="0"/>
    <pivotField numFmtI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Count of Employee" fld="1" subtotal="count"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38BBA3-9BD5-4272-B3D6-1FB2C05EE0D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E28:F33" firstHeaderRow="1" firstDataRow="1" firstDataCol="1"/>
  <pivotFields count="17">
    <pivotField showAll="0"/>
    <pivotField showAll="0"/>
    <pivotField axis="axisRow" showAll="0">
      <items count="5">
        <item x="2"/>
        <item x="1"/>
        <item x="3"/>
        <item x="0"/>
        <item t="default"/>
      </items>
    </pivotField>
    <pivotField showAll="0"/>
    <pivotField numFmtId="15" showAll="0">
      <items count="14">
        <item x="0"/>
        <item x="1"/>
        <item x="2"/>
        <item x="3"/>
        <item x="4"/>
        <item x="5"/>
        <item x="6"/>
        <item x="7"/>
        <item x="8"/>
        <item x="9"/>
        <item x="10"/>
        <item x="11"/>
        <item x="12"/>
        <item t="default"/>
      </items>
    </pivotField>
    <pivotField showAll="0"/>
    <pivotField showAll="0"/>
    <pivotField showAll="0"/>
    <pivotField showAll="0"/>
    <pivotField showAll="0"/>
    <pivotField numFmtId="1" showAll="0"/>
    <pivotField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 Ach_%" fld="12" baseField="0" baseItem="0" numFmtId="10"/>
  </dataFields>
  <formats count="1">
    <format dxfId="13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B54942-E833-4BE3-87A9-D78258545F9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7:J50" firstHeaderRow="1" firstDataRow="1" firstDataCol="1"/>
  <pivotFields count="17">
    <pivotField showAll="0"/>
    <pivotField showAll="0"/>
    <pivotField showAll="0">
      <items count="5">
        <item x="2"/>
        <item x="1"/>
        <item x="3"/>
        <item x="0"/>
        <item t="default"/>
      </items>
    </pivotField>
    <pivotField showAll="0"/>
    <pivotField axis="axisRow" numFmtId="15" showAll="0">
      <items count="14">
        <item x="0"/>
        <item x="1"/>
        <item x="2"/>
        <item x="3"/>
        <item x="4"/>
        <item x="5"/>
        <item x="6"/>
        <item x="7"/>
        <item x="8"/>
        <item x="9"/>
        <item x="10"/>
        <item x="11"/>
        <item x="12"/>
        <item t="default"/>
      </items>
    </pivotField>
    <pivotField showAll="0"/>
    <pivotField showAll="0"/>
    <pivotField showAll="0"/>
    <pivotField showAll="0"/>
    <pivotField showAll="0"/>
    <pivotField numFmtId="1" showAll="0"/>
    <pivotField showAll="0"/>
    <pivotField dataField="1"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4"/>
    <field x="4"/>
  </rowFields>
  <rowItems count="13">
    <i>
      <x v="1"/>
    </i>
    <i>
      <x v="2"/>
    </i>
    <i>
      <x v="3"/>
    </i>
    <i>
      <x v="4"/>
    </i>
    <i>
      <x v="5"/>
    </i>
    <i>
      <x v="6"/>
    </i>
    <i>
      <x v="7"/>
    </i>
    <i>
      <x v="8"/>
    </i>
    <i>
      <x v="9"/>
    </i>
    <i>
      <x v="10"/>
    </i>
    <i>
      <x v="11"/>
    </i>
    <i>
      <x v="12"/>
    </i>
    <i t="grand">
      <x/>
    </i>
  </rowItems>
  <colItems count="1">
    <i/>
  </colItems>
  <dataFields count="1">
    <dataField name="Sum of Ach_%" fld="12" baseField="0" baseItem="0" numFmtId="10"/>
  </dataFields>
  <formats count="1">
    <format dxfId="13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6D46BB8-296B-4C72-BB2F-14EB4E0D545A}" sourceName="Department">
  <pivotTables>
    <pivotTable tabId="1" name="PivotTable1"/>
  </pivotTables>
  <data>
    <tabular pivotCacheId="890719713">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45FE21-2B79-43FA-98AE-398CCF17933F}" sourceName="Region">
  <pivotTables>
    <pivotTable tabId="1" name="PivotTable1"/>
  </pivotTables>
  <data>
    <tabular pivotCacheId="890719713">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5981B796-3BE4-467D-85DF-329664406C02}" sourceName="Manager">
  <pivotTables>
    <pivotTable tabId="1" name="PivotTable1"/>
  </pivotTables>
  <data>
    <tabular pivotCacheId="890719713">
      <items count="5">
        <i x="4" s="1"/>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B68CE79E-099A-4AAA-8004-35AF9FF1A7E2}" sourceName="Rating">
  <pivotTables>
    <pivotTable tabId="1" name="PivotTable1"/>
  </pivotTables>
  <data>
    <tabular pivotCacheId="89071971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5B19156-0251-48C5-8AB0-7C812FFD401B}" cache="Slicer_Department" caption="Department" style="SlicerStyleDark1" rowHeight="234950"/>
  <slicer name="Region" xr10:uid="{F359AB9B-3D23-4452-A153-7673FAC44FEA}" cache="Slicer_Region" caption="Region" style="SlicerStyleDark6" rowHeight="234950"/>
  <slicer name="Manager" xr10:uid="{A9E6B890-6185-4F77-A363-7A675480CDD1}" cache="Slicer_Manager" caption="Manager" style="SlicerStyleDark4" rowHeight="234950"/>
  <slicer name="Rating" xr10:uid="{2F391384-BE3F-4807-AC48-FA70453DA184}" cache="Slicer_Rating" caption="Ratin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6A79CE-5CC7-4BF8-8650-00475224061F}" name="Table1" displayName="Table1" ref="A10:L25" totalsRowShown="0" headerRowDxfId="16" dataDxfId="77">
  <autoFilter ref="A10:L25" xr:uid="{696A79CE-5CC7-4BF8-8650-00475224061F}"/>
  <tableColumns count="12">
    <tableColumn id="1" xr3:uid="{3AE115FC-9D12-48A5-9FCD-1F9BC9E09B35}" name="Emp ID" dataDxfId="89"/>
    <tableColumn id="2" xr3:uid="{36BA2AD6-5A7C-47A9-BA0A-610FD13DACD4}" name="Employee" dataDxfId="88"/>
    <tableColumn id="3" xr3:uid="{71D9B8C4-8CA3-4B98-BEC8-FA0DEA91ACD1}" name="Department" dataDxfId="87"/>
    <tableColumn id="4" xr3:uid="{5DD5A9E3-3359-4939-A0EA-9D8B76055900}" name="Region" dataDxfId="86"/>
    <tableColumn id="5" xr3:uid="{E2ED5C01-ADA9-4309-A60A-8F2B5233F046}" name="Join Date" dataDxfId="85"/>
    <tableColumn id="6" xr3:uid="{EEE714D9-9ABA-45B1-9840-CB979BA09965}" name="Target" dataDxfId="84"/>
    <tableColumn id="7" xr3:uid="{348A0E37-686F-4B0B-B7F5-7F5F60FF4300}" name="Achieved" dataDxfId="83"/>
    <tableColumn id="8" xr3:uid="{561F44FB-943D-4DF7-8CBD-FD275CA31126}" name="Salary" dataDxfId="82"/>
    <tableColumn id="11" xr3:uid="{3369CF52-EBB9-478C-BC7F-4CAE119E43D7}" name="Ach%" dataDxfId="81">
      <calculatedColumnFormula>IFERROR(Table1[[#This Row],[Achieved]]/Table1[[#This Row],[Target]],"-")</calculatedColumnFormula>
    </tableColumn>
    <tableColumn id="12" xr3:uid="{9E02ED15-711B-4196-8164-59891445AE6A}" name="Rating" dataDxfId="80">
      <calculatedColumnFormula array="1">_xlfn.IFS(Table1[[#This Row],[Ach%]]&gt;100%,"Excellent",Table1[[#This Row],[Ach%]]&gt;=90%,"Good",Table1[[#This Row],[Ach%]]&lt;90%,"Poor")</calculatedColumnFormula>
    </tableColumn>
    <tableColumn id="13" xr3:uid="{22236540-71F9-42C2-8080-C1CE38FB3CEB}" name="Bonus " dataDxfId="79">
      <calculatedColumnFormula array="1">_xlfn.IFS(Table1[[#This Row],[Rating]]="Excellent",Table1[[#This Row],[Salary]]*10%,Table1[[#This Row],[Rating]]="Good",Table1[[#This Row],[Salary]]*5%,Table1[[#This Row],[Rating]]="Poor",0,TRUE,0)</calculatedColumnFormula>
    </tableColumn>
    <tableColumn id="9" xr3:uid="{EFB55E5F-CB68-4717-9E31-25F262903EB6}" name="Manager" dataDxfId="7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D8D641-C020-429C-81AF-B28012F0AF80}" name="Table14" displayName="Table14" ref="A1:L16" totalsRowShown="0">
  <autoFilter ref="A1:L16" xr:uid="{3ED8D641-C020-429C-81AF-B28012F0AF80}"/>
  <tableColumns count="12">
    <tableColumn id="1" xr3:uid="{13C804EE-B020-4F1D-8D4B-21F61BFCD422}" name="Emp ID"/>
    <tableColumn id="2" xr3:uid="{1E35B1D8-F7C7-4837-AEE1-47F5BAC0F4B7}" name="Employee"/>
    <tableColumn id="3" xr3:uid="{FB33ABB7-9AFE-4017-B2FF-A4F9D6889237}" name="Department"/>
    <tableColumn id="4" xr3:uid="{3AEB06E4-8165-4B69-8FE0-425AE0861F7D}" name="Region"/>
    <tableColumn id="5" xr3:uid="{82EAD87F-37A6-49D2-AA79-621DF8B82EB8}" name="Join Date" dataDxfId="134"/>
    <tableColumn id="6" xr3:uid="{AF94E0E7-09F7-432A-BF0E-B9D1DFD22919}" name="Target"/>
    <tableColumn id="7" xr3:uid="{77CE84D5-C60D-4F08-A43C-CB01FE923E65}" name="Achieved"/>
    <tableColumn id="8" xr3:uid="{B233726B-DE10-43EE-B79D-8767D57D6262}" name="Salary"/>
    <tableColumn id="11" xr3:uid="{0A1910C8-940E-4996-8F43-E54BFA18820F}" name="Ach%" dataDxfId="133">
      <calculatedColumnFormula>IFERROR(Table14[[#This Row],[Achieved]]/Table14[[#This Row],[Target]],"-")</calculatedColumnFormula>
    </tableColumn>
    <tableColumn id="12" xr3:uid="{1EA28C1A-13CD-4D2C-BDDA-528CDE9282B6}" name="Rating" dataDxfId="132">
      <calculatedColumnFormula array="1">_xlfn.IFS(Table14[[#This Row],[Ach%]]&gt;100%,"Excellent",Table14[[#This Row],[Ach%]]&gt;=90%,"Good",Table14[[#This Row],[Ach%]]&lt;90%,"Poor")</calculatedColumnFormula>
    </tableColumn>
    <tableColumn id="13" xr3:uid="{0E42B1C8-323D-4237-A95D-4101D8360434}" name="Bonus " dataDxfId="131">
      <calculatedColumnFormula array="1">_xlfn.IFS(Table14[[#This Row],[Rating]]="Excellent",Table14[[#This Row],[Salary]]*10%,Table14[[#This Row],[Rating]]="Good",Table14[[#This Row],[Salary]]*5%,Table14[[#This Row],[Rating]]="Poor",0,TRUE,0)</calculatedColumnFormula>
    </tableColumn>
    <tableColumn id="9" xr3:uid="{189FD649-3023-46EC-A86B-24E408D9E8B9}" name="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77817-EA7A-48AA-8179-5FD4CDC0A818}">
  <dimension ref="A1:Y41"/>
  <sheetViews>
    <sheetView tabSelected="1" zoomScale="50" zoomScaleNormal="50" workbookViewId="0">
      <selection activeCell="G30" sqref="G30:K30"/>
    </sheetView>
  </sheetViews>
  <sheetFormatPr defaultRowHeight="14.4" x14ac:dyDescent="0.3"/>
  <cols>
    <col min="1" max="1" width="33.77734375" bestFit="1" customWidth="1"/>
    <col min="2" max="2" width="16" bestFit="1" customWidth="1"/>
    <col min="3" max="3" width="22.21875" bestFit="1" customWidth="1"/>
    <col min="4" max="4" width="19.21875" bestFit="1" customWidth="1"/>
    <col min="5" max="5" width="18.33203125" bestFit="1" customWidth="1"/>
    <col min="6" max="6" width="13.44140625" bestFit="1" customWidth="1"/>
    <col min="7" max="7" width="15.21875" bestFit="1" customWidth="1"/>
    <col min="8" max="8" width="17.21875" bestFit="1" customWidth="1"/>
    <col min="9" max="9" width="19.6640625" bestFit="1" customWidth="1"/>
    <col min="10" max="10" width="16.77734375" bestFit="1" customWidth="1"/>
    <col min="11" max="11" width="18.33203125" bestFit="1" customWidth="1"/>
    <col min="12" max="12" width="13.33203125" bestFit="1" customWidth="1"/>
    <col min="13" max="13" width="11.5546875" bestFit="1" customWidth="1"/>
    <col min="14" max="15" width="13.33203125" bestFit="1" customWidth="1"/>
    <col min="16" max="16" width="17.109375" bestFit="1" customWidth="1"/>
    <col min="17" max="17" width="13.33203125" bestFit="1" customWidth="1"/>
  </cols>
  <sheetData>
    <row r="1" spans="1:25" ht="14.4" customHeight="1" x14ac:dyDescent="0.3">
      <c r="A1" s="33" t="s">
        <v>52</v>
      </c>
      <c r="B1" s="16"/>
      <c r="C1" s="16"/>
      <c r="D1" s="16"/>
      <c r="E1" s="16"/>
      <c r="F1" s="16"/>
      <c r="G1" s="16"/>
      <c r="H1" s="16"/>
      <c r="I1" s="16"/>
      <c r="J1" s="16"/>
      <c r="K1" s="16"/>
      <c r="L1" s="16"/>
      <c r="M1" s="16"/>
      <c r="N1" s="16" t="s">
        <v>87</v>
      </c>
      <c r="O1" s="16"/>
      <c r="P1" s="16"/>
      <c r="Q1" s="16"/>
      <c r="R1" s="16"/>
      <c r="S1" s="16"/>
      <c r="T1" s="16"/>
      <c r="U1" s="16"/>
      <c r="V1" s="16"/>
      <c r="W1" s="26"/>
      <c r="X1" s="26"/>
      <c r="Y1" s="26"/>
    </row>
    <row r="2" spans="1:25" ht="14.4" customHeight="1" x14ac:dyDescent="0.3">
      <c r="A2" s="16"/>
      <c r="B2" s="16"/>
      <c r="C2" s="16"/>
      <c r="D2" s="16"/>
      <c r="E2" s="16"/>
      <c r="F2" s="16"/>
      <c r="G2" s="16"/>
      <c r="H2" s="16"/>
      <c r="I2" s="16"/>
      <c r="J2" s="16"/>
      <c r="K2" s="16"/>
      <c r="L2" s="16"/>
      <c r="M2" s="16"/>
      <c r="N2" s="16"/>
      <c r="O2" s="16"/>
      <c r="P2" s="16"/>
      <c r="Q2" s="16"/>
      <c r="R2" s="16"/>
      <c r="S2" s="16"/>
      <c r="T2" s="16"/>
      <c r="U2" s="16"/>
      <c r="V2" s="16"/>
      <c r="W2" s="26"/>
      <c r="X2" s="26"/>
      <c r="Y2" s="26"/>
    </row>
    <row r="3" spans="1:25" x14ac:dyDescent="0.3">
      <c r="A3" s="7"/>
      <c r="B3" s="6"/>
      <c r="C3" s="6"/>
    </row>
    <row r="4" spans="1:25" x14ac:dyDescent="0.3">
      <c r="A4" s="6"/>
      <c r="B4" s="6"/>
      <c r="C4" s="6"/>
    </row>
    <row r="5" spans="1:25" x14ac:dyDescent="0.3">
      <c r="A5" s="6"/>
      <c r="B5" s="6"/>
      <c r="C5" s="6"/>
    </row>
    <row r="6" spans="1:25" x14ac:dyDescent="0.3">
      <c r="A6" s="6"/>
      <c r="B6" s="6"/>
      <c r="C6" s="6"/>
    </row>
    <row r="7" spans="1:25" x14ac:dyDescent="0.3">
      <c r="A7" s="6"/>
      <c r="B7" s="6"/>
      <c r="C7" s="6"/>
    </row>
    <row r="9" spans="1:25" ht="21" x14ac:dyDescent="0.3">
      <c r="A9" s="33" t="s">
        <v>88</v>
      </c>
      <c r="B9" s="16"/>
      <c r="C9" s="16"/>
      <c r="D9" s="16"/>
      <c r="E9" s="16"/>
      <c r="F9" s="16"/>
      <c r="G9" s="16"/>
      <c r="H9" s="16"/>
      <c r="I9" s="16"/>
      <c r="J9" s="16"/>
      <c r="K9" s="16"/>
      <c r="L9" s="16"/>
    </row>
    <row r="10" spans="1:25" x14ac:dyDescent="0.3">
      <c r="A10" s="35" t="s">
        <v>0</v>
      </c>
      <c r="B10" s="35" t="s">
        <v>1</v>
      </c>
      <c r="C10" s="35" t="s">
        <v>2</v>
      </c>
      <c r="D10" s="35" t="s">
        <v>3</v>
      </c>
      <c r="E10" s="35" t="s">
        <v>4</v>
      </c>
      <c r="F10" s="35" t="s">
        <v>5</v>
      </c>
      <c r="G10" s="35" t="s">
        <v>6</v>
      </c>
      <c r="H10" s="35" t="s">
        <v>7</v>
      </c>
      <c r="I10" s="35" t="s">
        <v>47</v>
      </c>
      <c r="J10" s="35" t="s">
        <v>48</v>
      </c>
      <c r="K10" s="35" t="s">
        <v>49</v>
      </c>
      <c r="L10" s="35" t="s">
        <v>8</v>
      </c>
    </row>
    <row r="11" spans="1:25" x14ac:dyDescent="0.3">
      <c r="A11" s="28" t="s">
        <v>9</v>
      </c>
      <c r="B11" s="28" t="s">
        <v>10</v>
      </c>
      <c r="C11" s="28" t="s">
        <v>11</v>
      </c>
      <c r="D11" s="28" t="s">
        <v>12</v>
      </c>
      <c r="E11" s="29">
        <v>45292</v>
      </c>
      <c r="F11" s="28">
        <v>100000</v>
      </c>
      <c r="G11" s="28">
        <v>95000</v>
      </c>
      <c r="H11" s="28">
        <v>35000</v>
      </c>
      <c r="I11" s="30">
        <f>IFERROR(Table1[[#This Row],[Achieved]]/Table1[[#This Row],[Target]],"-")</f>
        <v>0.95</v>
      </c>
      <c r="J11" s="30" t="str" cm="1">
        <f t="array" ref="J11">_xlfn.IFS(Table1[[#This Row],[Ach%]]&gt;100%,"Excellent",Table1[[#This Row],[Ach%]]&gt;=90%,"Good",Table1[[#This Row],[Ach%]]&lt;90%,"Poor")</f>
        <v>Good</v>
      </c>
      <c r="K11" s="31" cm="1">
        <f t="array" ref="K11">_xlfn.IFS(Table1[[#This Row],[Rating]]="Excellent",Table1[[#This Row],[Salary]]*10%,Table1[[#This Row],[Rating]]="Good",Table1[[#This Row],[Salary]]*5%,Table1[[#This Row],[Rating]]="Poor",0,TRUE,0)</f>
        <v>1750</v>
      </c>
      <c r="L11" s="28" t="s">
        <v>13</v>
      </c>
    </row>
    <row r="12" spans="1:25" x14ac:dyDescent="0.3">
      <c r="A12" s="28" t="s">
        <v>14</v>
      </c>
      <c r="B12" s="28" t="s">
        <v>15</v>
      </c>
      <c r="C12" s="28" t="s">
        <v>11</v>
      </c>
      <c r="D12" s="28" t="s">
        <v>16</v>
      </c>
      <c r="E12" s="29">
        <v>45337</v>
      </c>
      <c r="F12" s="28">
        <v>120000</v>
      </c>
      <c r="G12" s="28">
        <v>125000</v>
      </c>
      <c r="H12" s="28">
        <v>38000</v>
      </c>
      <c r="I12" s="30">
        <f>IFERROR(Table1[[#This Row],[Achieved]]/Table1[[#This Row],[Target]],"-")</f>
        <v>1.0416666666666667</v>
      </c>
      <c r="J12" s="30" t="str" cm="1">
        <f t="array" ref="J12">_xlfn.IFS(Table1[[#This Row],[Ach%]]&gt;100%,"Excellent",Table1[[#This Row],[Ach%]]&gt;=90%,"Good",Table1[[#This Row],[Ach%]]&lt;90%,"Poor")</f>
        <v>Excellent</v>
      </c>
      <c r="K12" s="31" cm="1">
        <f t="array" ref="K12">_xlfn.IFS(Table1[[#This Row],[Rating]]="Excellent",Table1[[#This Row],[Salary]]*10%,Table1[[#This Row],[Rating]]="Good",Table1[[#This Row],[Salary]]*5%,Table1[[#This Row],[Rating]]="Poor",0,TRUE,0)</f>
        <v>3800</v>
      </c>
      <c r="L12" s="28" t="s">
        <v>13</v>
      </c>
    </row>
    <row r="13" spans="1:25" x14ac:dyDescent="0.3">
      <c r="A13" s="28" t="s">
        <v>17</v>
      </c>
      <c r="B13" s="28" t="s">
        <v>18</v>
      </c>
      <c r="C13" s="28" t="s">
        <v>19</v>
      </c>
      <c r="D13" s="28" t="s">
        <v>20</v>
      </c>
      <c r="E13" s="29">
        <v>45361</v>
      </c>
      <c r="F13" s="28">
        <v>80000</v>
      </c>
      <c r="G13" s="28">
        <v>75000</v>
      </c>
      <c r="H13" s="28">
        <v>32000</v>
      </c>
      <c r="I13" s="30">
        <f>IFERROR(Table1[[#This Row],[Achieved]]/Table1[[#This Row],[Target]],"-")</f>
        <v>0.9375</v>
      </c>
      <c r="J13" s="30" t="str" cm="1">
        <f t="array" ref="J13">_xlfn.IFS(Table1[[#This Row],[Ach%]]&gt;100%,"Excellent",Table1[[#This Row],[Ach%]]&gt;=90%,"Good",Table1[[#This Row],[Ach%]]&lt;90%,"Poor")</f>
        <v>Good</v>
      </c>
      <c r="K13" s="31" cm="1">
        <f t="array" ref="K13">_xlfn.IFS(Table1[[#This Row],[Rating]]="Excellent",Table1[[#This Row],[Salary]]*10%,Table1[[#This Row],[Rating]]="Good",Table1[[#This Row],[Salary]]*5%,Table1[[#This Row],[Rating]]="Poor",0,TRUE,0)</f>
        <v>1600</v>
      </c>
      <c r="L13" s="28" t="s">
        <v>21</v>
      </c>
    </row>
    <row r="14" spans="1:25" x14ac:dyDescent="0.3">
      <c r="A14" s="28" t="s">
        <v>22</v>
      </c>
      <c r="B14" s="28" t="s">
        <v>23</v>
      </c>
      <c r="C14" s="28" t="s">
        <v>24</v>
      </c>
      <c r="D14" s="28" t="s">
        <v>25</v>
      </c>
      <c r="E14" s="29">
        <v>45402</v>
      </c>
      <c r="F14" s="28">
        <v>90000</v>
      </c>
      <c r="G14" s="28">
        <v>92000</v>
      </c>
      <c r="H14" s="28">
        <v>40000</v>
      </c>
      <c r="I14" s="30">
        <f>IFERROR(Table1[[#This Row],[Achieved]]/Table1[[#This Row],[Target]],"-")</f>
        <v>1.0222222222222221</v>
      </c>
      <c r="J14" s="30" t="str" cm="1">
        <f t="array" ref="J14">_xlfn.IFS(Table1[[#This Row],[Ach%]]&gt;100%,"Excellent",Table1[[#This Row],[Ach%]]&gt;=90%,"Good",Table1[[#This Row],[Ach%]]&lt;90%,"Poor")</f>
        <v>Excellent</v>
      </c>
      <c r="K14" s="31" cm="1">
        <f t="array" ref="K14">_xlfn.IFS(Table1[[#This Row],[Rating]]="Excellent",Table1[[#This Row],[Salary]]*10%,Table1[[#This Row],[Rating]]="Good",Table1[[#This Row],[Salary]]*5%,Table1[[#This Row],[Rating]]="Poor",0,TRUE,0)</f>
        <v>4000</v>
      </c>
      <c r="L14" s="28" t="s">
        <v>26</v>
      </c>
    </row>
    <row r="15" spans="1:25" x14ac:dyDescent="0.3">
      <c r="A15" s="28" t="s">
        <v>27</v>
      </c>
      <c r="B15" s="28" t="s">
        <v>10</v>
      </c>
      <c r="C15" s="28" t="s">
        <v>11</v>
      </c>
      <c r="D15" s="28" t="s">
        <v>12</v>
      </c>
      <c r="E15" s="29">
        <v>45292</v>
      </c>
      <c r="F15" s="28">
        <v>100000</v>
      </c>
      <c r="G15" s="28">
        <v>95000</v>
      </c>
      <c r="H15" s="28">
        <v>35000</v>
      </c>
      <c r="I15" s="30">
        <f>IFERROR(Table1[[#This Row],[Achieved]]/Table1[[#This Row],[Target]],"-")</f>
        <v>0.95</v>
      </c>
      <c r="J15" s="30" t="str" cm="1">
        <f t="array" ref="J15">_xlfn.IFS(Table1[[#This Row],[Ach%]]&gt;100%,"Excellent",Table1[[#This Row],[Ach%]]&gt;=90%,"Good",Table1[[#This Row],[Ach%]]&lt;90%,"Poor")</f>
        <v>Good</v>
      </c>
      <c r="K15" s="31" cm="1">
        <f t="array" ref="K15">_xlfn.IFS(Table1[[#This Row],[Rating]]="Excellent",Table1[[#This Row],[Salary]]*10%,Table1[[#This Row],[Rating]]="Good",Table1[[#This Row],[Salary]]*5%,Table1[[#This Row],[Rating]]="Poor",0,TRUE,0)</f>
        <v>1750</v>
      </c>
      <c r="L15" s="28" t="s">
        <v>13</v>
      </c>
    </row>
    <row r="16" spans="1:25" x14ac:dyDescent="0.3">
      <c r="A16" s="28" t="s">
        <v>28</v>
      </c>
      <c r="B16" s="28" t="s">
        <v>29</v>
      </c>
      <c r="C16" s="28" t="s">
        <v>11</v>
      </c>
      <c r="D16" s="28" t="s">
        <v>30</v>
      </c>
      <c r="E16" s="29">
        <v>45417</v>
      </c>
      <c r="F16" s="28">
        <v>110000</v>
      </c>
      <c r="G16" s="28">
        <v>105000</v>
      </c>
      <c r="H16" s="28">
        <v>36000</v>
      </c>
      <c r="I16" s="30">
        <f>IFERROR(Table1[[#This Row],[Achieved]]/Table1[[#This Row],[Target]],"-")</f>
        <v>0.95454545454545459</v>
      </c>
      <c r="J16" s="30" t="str" cm="1">
        <f t="array" ref="J16">_xlfn.IFS(Table1[[#This Row],[Ach%]]&gt;100%,"Excellent",Table1[[#This Row],[Ach%]]&gt;=90%,"Good",Table1[[#This Row],[Ach%]]&lt;90%,"Poor")</f>
        <v>Good</v>
      </c>
      <c r="K16" s="31" cm="1">
        <f t="array" ref="K16">_xlfn.IFS(Table1[[#This Row],[Rating]]="Excellent",Table1[[#This Row],[Salary]]*10%,Table1[[#This Row],[Rating]]="Good",Table1[[#This Row],[Salary]]*5%,Table1[[#This Row],[Rating]]="Poor",0,TRUE,0)</f>
        <v>1800</v>
      </c>
      <c r="L16" s="28" t="s">
        <v>13</v>
      </c>
    </row>
    <row r="17" spans="1:18" x14ac:dyDescent="0.3">
      <c r="A17" s="28" t="s">
        <v>31</v>
      </c>
      <c r="B17" s="28" t="s">
        <v>32</v>
      </c>
      <c r="C17" s="28" t="s">
        <v>24</v>
      </c>
      <c r="D17" s="28" t="s">
        <v>25</v>
      </c>
      <c r="E17" s="29">
        <v>45455</v>
      </c>
      <c r="F17" s="28">
        <v>95000</v>
      </c>
      <c r="G17" s="28">
        <v>98000</v>
      </c>
      <c r="H17" s="28">
        <v>41000</v>
      </c>
      <c r="I17" s="30">
        <f>IFERROR(Table1[[#This Row],[Achieved]]/Table1[[#This Row],[Target]],"-")</f>
        <v>1.0315789473684212</v>
      </c>
      <c r="J17" s="30" t="str" cm="1">
        <f t="array" ref="J17">_xlfn.IFS(Table1[[#This Row],[Ach%]]&gt;100%,"Excellent",Table1[[#This Row],[Ach%]]&gt;=90%,"Good",Table1[[#This Row],[Ach%]]&lt;90%,"Poor")</f>
        <v>Excellent</v>
      </c>
      <c r="K17" s="31" cm="1">
        <f t="array" ref="K17">_xlfn.IFS(Table1[[#This Row],[Rating]]="Excellent",Table1[[#This Row],[Salary]]*10%,Table1[[#This Row],[Rating]]="Good",Table1[[#This Row],[Salary]]*5%,Table1[[#This Row],[Rating]]="Poor",0,TRUE,0)</f>
        <v>4100</v>
      </c>
      <c r="L17" s="28" t="s">
        <v>26</v>
      </c>
    </row>
    <row r="18" spans="1:18" x14ac:dyDescent="0.3">
      <c r="A18" s="28" t="s">
        <v>33</v>
      </c>
      <c r="B18" s="28" t="s">
        <v>34</v>
      </c>
      <c r="C18" s="28" t="s">
        <v>19</v>
      </c>
      <c r="D18" s="28" t="s">
        <v>20</v>
      </c>
      <c r="E18" s="29">
        <v>45491</v>
      </c>
      <c r="F18" s="28">
        <v>85000</v>
      </c>
      <c r="G18" s="28">
        <v>70000</v>
      </c>
      <c r="H18" s="28">
        <v>33000</v>
      </c>
      <c r="I18" s="30">
        <f>IFERROR(Table1[[#This Row],[Achieved]]/Table1[[#This Row],[Target]],"-")</f>
        <v>0.82352941176470584</v>
      </c>
      <c r="J18" s="30" t="str" cm="1">
        <f t="array" ref="J18">_xlfn.IFS(Table1[[#This Row],[Ach%]]&gt;100%,"Excellent",Table1[[#This Row],[Ach%]]&gt;=90%,"Good",Table1[[#This Row],[Ach%]]&lt;90%,"Poor")</f>
        <v>Poor</v>
      </c>
      <c r="K18" s="31" cm="1">
        <f t="array" ref="K18">_xlfn.IFS(Table1[[#This Row],[Rating]]="Excellent",Table1[[#This Row],[Salary]]*10%,Table1[[#This Row],[Rating]]="Good",Table1[[#This Row],[Salary]]*5%,Table1[[#This Row],[Rating]]="Poor",0,TRUE,0)</f>
        <v>0</v>
      </c>
      <c r="L18" s="28" t="s">
        <v>21</v>
      </c>
    </row>
    <row r="19" spans="1:18" x14ac:dyDescent="0.3">
      <c r="A19" s="28" t="s">
        <v>35</v>
      </c>
      <c r="B19" s="28" t="s">
        <v>36</v>
      </c>
      <c r="C19" s="28" t="s">
        <v>11</v>
      </c>
      <c r="D19" s="28" t="s">
        <v>16</v>
      </c>
      <c r="E19" s="29">
        <v>45526</v>
      </c>
      <c r="F19" s="28">
        <v>130000</v>
      </c>
      <c r="G19" s="28">
        <v>140000</v>
      </c>
      <c r="H19" s="28">
        <v>39000</v>
      </c>
      <c r="I19" s="30">
        <f>IFERROR(Table1[[#This Row],[Achieved]]/Table1[[#This Row],[Target]],"-")</f>
        <v>1.0769230769230769</v>
      </c>
      <c r="J19" s="30" t="str" cm="1">
        <f t="array" ref="J19">_xlfn.IFS(Table1[[#This Row],[Ach%]]&gt;100%,"Excellent",Table1[[#This Row],[Ach%]]&gt;=90%,"Good",Table1[[#This Row],[Ach%]]&lt;90%,"Poor")</f>
        <v>Excellent</v>
      </c>
      <c r="K19" s="31" cm="1">
        <f t="array" ref="K19">_xlfn.IFS(Table1[[#This Row],[Rating]]="Excellent",Table1[[#This Row],[Salary]]*10%,Table1[[#This Row],[Rating]]="Good",Table1[[#This Row],[Salary]]*5%,Table1[[#This Row],[Rating]]="Poor",0,TRUE,0)</f>
        <v>3900</v>
      </c>
      <c r="L19" s="28" t="s">
        <v>13</v>
      </c>
    </row>
    <row r="20" spans="1:18" x14ac:dyDescent="0.3">
      <c r="A20" s="28" t="s">
        <v>37</v>
      </c>
      <c r="B20" s="12" t="s">
        <v>50</v>
      </c>
      <c r="C20" s="28" t="s">
        <v>38</v>
      </c>
      <c r="D20" s="28" t="s">
        <v>12</v>
      </c>
      <c r="E20" s="29">
        <v>45545</v>
      </c>
      <c r="F20" s="28">
        <v>70000</v>
      </c>
      <c r="G20" s="28">
        <v>68000</v>
      </c>
      <c r="H20" s="28">
        <v>30000</v>
      </c>
      <c r="I20" s="30">
        <f>IFERROR(Table1[[#This Row],[Achieved]]/Table1[[#This Row],[Target]],"-")</f>
        <v>0.97142857142857142</v>
      </c>
      <c r="J20" s="30" t="str" cm="1">
        <f t="array" ref="J20">_xlfn.IFS(Table1[[#This Row],[Ach%]]&gt;100%,"Excellent",Table1[[#This Row],[Ach%]]&gt;=90%,"Good",Table1[[#This Row],[Ach%]]&lt;90%,"Poor")</f>
        <v>Good</v>
      </c>
      <c r="K20" s="31" cm="1">
        <f t="array" ref="K20">_xlfn.IFS(Table1[[#This Row],[Rating]]="Excellent",Table1[[#This Row],[Salary]]*10%,Table1[[#This Row],[Rating]]="Good",Table1[[#This Row],[Salary]]*5%,Table1[[#This Row],[Rating]]="Poor",0,TRUE,0)</f>
        <v>1500</v>
      </c>
      <c r="L20" s="28" t="s">
        <v>39</v>
      </c>
    </row>
    <row r="21" spans="1:18" x14ac:dyDescent="0.3">
      <c r="A21" s="28" t="s">
        <v>40</v>
      </c>
      <c r="B21" s="28" t="s">
        <v>41</v>
      </c>
      <c r="C21" s="28" t="s">
        <v>24</v>
      </c>
      <c r="D21" s="28" t="s">
        <v>25</v>
      </c>
      <c r="E21" s="29">
        <v>45580</v>
      </c>
      <c r="F21" s="28">
        <v>90000</v>
      </c>
      <c r="G21" s="28" t="s">
        <v>51</v>
      </c>
      <c r="H21" s="28">
        <v>42000</v>
      </c>
      <c r="I21" s="30" t="str">
        <f>IFERROR(Table1[[#This Row],[Achieved]]/Table1[[#This Row],[Target]],"-")</f>
        <v>-</v>
      </c>
      <c r="J21" s="30" t="str" cm="1">
        <f t="array" ref="J21">_xlfn.IFS(Table1[[#This Row],[Ach%]]&gt;100%,"Excellent",Table1[[#This Row],[Ach%]]&gt;=90%,"Good",Table1[[#This Row],[Ach%]]&lt;90%,"Poor")</f>
        <v>Excellent</v>
      </c>
      <c r="K21" s="31" cm="1">
        <f t="array" ref="K21">_xlfn.IFS(Table1[[#This Row],[Rating]]="Excellent",Table1[[#This Row],[Salary]]*10%,Table1[[#This Row],[Rating]]="Good",Table1[[#This Row],[Salary]]*5%,Table1[[#This Row],[Rating]]="Poor",0,TRUE,0)</f>
        <v>4200</v>
      </c>
      <c r="L21" s="28" t="s">
        <v>26</v>
      </c>
    </row>
    <row r="22" spans="1:18" x14ac:dyDescent="0.3">
      <c r="A22" s="28" t="s">
        <v>42</v>
      </c>
      <c r="B22" s="28" t="s">
        <v>21</v>
      </c>
      <c r="C22" s="28" t="s">
        <v>19</v>
      </c>
      <c r="D22" s="28" t="s">
        <v>20</v>
      </c>
      <c r="E22" s="29">
        <v>45601</v>
      </c>
      <c r="F22" s="28">
        <v>80000</v>
      </c>
      <c r="G22" s="28">
        <v>82000</v>
      </c>
      <c r="H22" s="28">
        <v>34000</v>
      </c>
      <c r="I22" s="30">
        <f>IFERROR(Table1[[#This Row],[Achieved]]/Table1[[#This Row],[Target]],"-")</f>
        <v>1.0249999999999999</v>
      </c>
      <c r="J22" s="30" t="str" cm="1">
        <f t="array" ref="J22">_xlfn.IFS(Table1[[#This Row],[Ach%]]&gt;100%,"Excellent",Table1[[#This Row],[Ach%]]&gt;=90%,"Good",Table1[[#This Row],[Ach%]]&lt;90%,"Poor")</f>
        <v>Excellent</v>
      </c>
      <c r="K22" s="31" cm="1">
        <f t="array" ref="K22">_xlfn.IFS(Table1[[#This Row],[Rating]]="Excellent",Table1[[#This Row],[Salary]]*10%,Table1[[#This Row],[Rating]]="Good",Table1[[#This Row],[Salary]]*5%,Table1[[#This Row],[Rating]]="Poor",0,TRUE,0)</f>
        <v>3400</v>
      </c>
      <c r="L22" s="28" t="s">
        <v>51</v>
      </c>
    </row>
    <row r="23" spans="1:18" x14ac:dyDescent="0.3">
      <c r="A23" s="28" t="s">
        <v>43</v>
      </c>
      <c r="B23" s="28" t="s">
        <v>26</v>
      </c>
      <c r="C23" s="28" t="s">
        <v>24</v>
      </c>
      <c r="D23" s="28" t="s">
        <v>25</v>
      </c>
      <c r="E23" s="29">
        <v>45627</v>
      </c>
      <c r="F23" s="28">
        <v>100000</v>
      </c>
      <c r="G23" s="28">
        <v>102000</v>
      </c>
      <c r="H23" s="28">
        <v>45000</v>
      </c>
      <c r="I23" s="30">
        <f>IFERROR(Table1[[#This Row],[Achieved]]/Table1[[#This Row],[Target]],"-")</f>
        <v>1.02</v>
      </c>
      <c r="J23" s="30" t="str" cm="1">
        <f t="array" ref="J23">_xlfn.IFS(Table1[[#This Row],[Ach%]]&gt;100%,"Excellent",Table1[[#This Row],[Ach%]]&gt;=90%,"Good",Table1[[#This Row],[Ach%]]&lt;90%,"Poor")</f>
        <v>Excellent</v>
      </c>
      <c r="K23" s="31" cm="1">
        <f t="array" ref="K23">_xlfn.IFS(Table1[[#This Row],[Rating]]="Excellent",Table1[[#This Row],[Salary]]*10%,Table1[[#This Row],[Rating]]="Good",Table1[[#This Row],[Salary]]*5%,Table1[[#This Row],[Rating]]="Poor",0,TRUE,0)</f>
        <v>4500</v>
      </c>
      <c r="L23" s="28" t="s">
        <v>26</v>
      </c>
    </row>
    <row r="24" spans="1:18" x14ac:dyDescent="0.3">
      <c r="A24" s="28" t="s">
        <v>44</v>
      </c>
      <c r="B24" s="28" t="s">
        <v>45</v>
      </c>
      <c r="C24" s="28" t="s">
        <v>11</v>
      </c>
      <c r="D24" s="28" t="s">
        <v>12</v>
      </c>
      <c r="E24" s="29">
        <v>45672</v>
      </c>
      <c r="F24" s="28">
        <v>120000</v>
      </c>
      <c r="G24" s="28">
        <v>110000</v>
      </c>
      <c r="H24" s="28">
        <v>37000</v>
      </c>
      <c r="I24" s="30">
        <f>IFERROR(Table1[[#This Row],[Achieved]]/Table1[[#This Row],[Target]],"-")</f>
        <v>0.91666666666666663</v>
      </c>
      <c r="J24" s="30" t="str" cm="1">
        <f t="array" ref="J24">_xlfn.IFS(Table1[[#This Row],[Ach%]]&gt;100%,"Excellent",Table1[[#This Row],[Ach%]]&gt;=90%,"Good",Table1[[#This Row],[Ach%]]&lt;90%,"Poor")</f>
        <v>Good</v>
      </c>
      <c r="K24" s="31" cm="1">
        <f t="array" ref="K24">_xlfn.IFS(Table1[[#This Row],[Rating]]="Excellent",Table1[[#This Row],[Salary]]*10%,Table1[[#This Row],[Rating]]="Good",Table1[[#This Row],[Salary]]*5%,Table1[[#This Row],[Rating]]="Poor",0,TRUE,0)</f>
        <v>1850</v>
      </c>
      <c r="L24" s="28" t="s">
        <v>13</v>
      </c>
    </row>
    <row r="25" spans="1:18" x14ac:dyDescent="0.3">
      <c r="A25" s="28" t="s">
        <v>46</v>
      </c>
      <c r="B25" s="28" t="s">
        <v>15</v>
      </c>
      <c r="C25" s="28" t="s">
        <v>11</v>
      </c>
      <c r="D25" s="28" t="s">
        <v>16</v>
      </c>
      <c r="E25" s="29">
        <v>45337</v>
      </c>
      <c r="F25" s="28">
        <v>120000</v>
      </c>
      <c r="G25" s="28">
        <v>125000</v>
      </c>
      <c r="H25" s="28">
        <v>38000</v>
      </c>
      <c r="I25" s="30">
        <f>IFERROR(Table1[[#This Row],[Achieved]]/Table1[[#This Row],[Target]],"-")</f>
        <v>1.0416666666666667</v>
      </c>
      <c r="J25" s="30" t="str" cm="1">
        <f t="array" ref="J25">_xlfn.IFS(Table1[[#This Row],[Ach%]]&gt;100%,"Excellent",Table1[[#This Row],[Ach%]]&gt;=90%,"Good",Table1[[#This Row],[Ach%]]&lt;90%,"Poor")</f>
        <v>Excellent</v>
      </c>
      <c r="K25" s="31" cm="1">
        <f t="array" ref="K25">_xlfn.IFS(Table1[[#This Row],[Rating]]="Excellent",Table1[[#This Row],[Salary]]*10%,Table1[[#This Row],[Rating]]="Good",Table1[[#This Row],[Salary]]*5%,Table1[[#This Row],[Rating]]="Poor",0,TRUE,0)</f>
        <v>3800</v>
      </c>
      <c r="L25" s="28" t="s">
        <v>13</v>
      </c>
    </row>
    <row r="26" spans="1:18" x14ac:dyDescent="0.3">
      <c r="A26" s="15"/>
      <c r="B26" s="15"/>
      <c r="C26" s="15"/>
      <c r="D26" s="15"/>
      <c r="E26" s="15"/>
      <c r="F26" s="15"/>
      <c r="G26" s="15"/>
      <c r="H26" s="15"/>
      <c r="I26" s="15"/>
      <c r="J26" s="15"/>
      <c r="K26" s="15"/>
      <c r="L26" s="15"/>
    </row>
    <row r="27" spans="1:18" x14ac:dyDescent="0.3">
      <c r="A27" s="15"/>
      <c r="B27" s="15"/>
      <c r="C27" s="15"/>
      <c r="D27" s="15"/>
      <c r="E27" s="15"/>
      <c r="F27" s="15"/>
      <c r="G27" s="15"/>
      <c r="H27" s="15"/>
      <c r="I27" s="15"/>
      <c r="J27" s="15"/>
      <c r="K27" s="15"/>
      <c r="L27" s="15"/>
    </row>
    <row r="28" spans="1:18" x14ac:dyDescent="0.3">
      <c r="A28" s="15"/>
      <c r="B28" s="15"/>
      <c r="C28" s="15"/>
      <c r="D28" s="15"/>
      <c r="E28" s="15"/>
      <c r="F28" s="15"/>
      <c r="G28" s="15"/>
      <c r="H28" s="15"/>
      <c r="I28" s="15"/>
      <c r="J28" s="15"/>
      <c r="K28" s="15"/>
      <c r="L28" s="15"/>
    </row>
    <row r="29" spans="1:18" x14ac:dyDescent="0.3">
      <c r="A29" s="17" t="s">
        <v>53</v>
      </c>
      <c r="B29" s="17"/>
      <c r="C29" s="17"/>
      <c r="D29" s="17"/>
      <c r="E29" s="17"/>
      <c r="G29" s="23" t="s">
        <v>61</v>
      </c>
      <c r="H29" s="23"/>
      <c r="I29" s="23"/>
      <c r="J29" s="23"/>
      <c r="K29" s="23"/>
      <c r="M29" s="22"/>
      <c r="N29" s="22"/>
      <c r="O29" s="21"/>
      <c r="P29" s="21"/>
      <c r="Q29" s="21"/>
      <c r="R29" s="21"/>
    </row>
    <row r="30" spans="1:18" x14ac:dyDescent="0.3">
      <c r="A30" s="19" t="s">
        <v>2</v>
      </c>
      <c r="B30" s="10" t="s">
        <v>57</v>
      </c>
      <c r="C30" s="10" t="s">
        <v>58</v>
      </c>
      <c r="D30" s="10" t="s">
        <v>59</v>
      </c>
      <c r="E30" s="10" t="s">
        <v>60</v>
      </c>
      <c r="G30" s="13" t="s">
        <v>2</v>
      </c>
      <c r="H30" s="13" t="s">
        <v>1</v>
      </c>
      <c r="I30" s="13" t="s">
        <v>2</v>
      </c>
      <c r="J30" s="13" t="s">
        <v>6</v>
      </c>
      <c r="K30" t="s">
        <v>60</v>
      </c>
    </row>
    <row r="31" spans="1:18" x14ac:dyDescent="0.3">
      <c r="A31" s="10" t="s">
        <v>24</v>
      </c>
      <c r="B31" s="32">
        <v>4</v>
      </c>
      <c r="C31" s="20">
        <v>375000</v>
      </c>
      <c r="D31" s="20">
        <v>292000</v>
      </c>
      <c r="E31" s="11">
        <v>0.77866666666666662</v>
      </c>
      <c r="G31" s="10" t="s">
        <v>24</v>
      </c>
      <c r="H31" s="10" t="s">
        <v>32</v>
      </c>
      <c r="I31" s="10" t="s">
        <v>24</v>
      </c>
      <c r="J31" s="20">
        <v>98000</v>
      </c>
      <c r="K31" s="27">
        <v>1.0315789473684212</v>
      </c>
    </row>
    <row r="32" spans="1:18" x14ac:dyDescent="0.3">
      <c r="A32" s="10" t="s">
        <v>19</v>
      </c>
      <c r="B32" s="32">
        <v>3</v>
      </c>
      <c r="C32" s="20">
        <v>245000</v>
      </c>
      <c r="D32" s="20">
        <v>227000</v>
      </c>
      <c r="E32" s="34">
        <v>0.92653061224489797</v>
      </c>
      <c r="G32" s="10" t="s">
        <v>19</v>
      </c>
      <c r="H32" s="10" t="s">
        <v>15</v>
      </c>
      <c r="I32" s="10" t="s">
        <v>11</v>
      </c>
      <c r="J32" s="20">
        <v>125000</v>
      </c>
      <c r="K32" s="27">
        <v>1.0416666666666667</v>
      </c>
    </row>
    <row r="33" spans="1:11" x14ac:dyDescent="0.3">
      <c r="A33" s="10" t="s">
        <v>38</v>
      </c>
      <c r="B33" s="32">
        <v>1</v>
      </c>
      <c r="C33" s="20">
        <v>70000</v>
      </c>
      <c r="D33" s="20">
        <v>68000</v>
      </c>
      <c r="E33" s="11">
        <v>0.97142857142857142</v>
      </c>
      <c r="G33" s="10" t="s">
        <v>38</v>
      </c>
      <c r="H33" s="10" t="s">
        <v>21</v>
      </c>
      <c r="I33" s="10" t="s">
        <v>19</v>
      </c>
      <c r="J33" s="20">
        <v>82000</v>
      </c>
      <c r="K33" s="27">
        <v>1.0249999999999999</v>
      </c>
    </row>
    <row r="34" spans="1:11" x14ac:dyDescent="0.3">
      <c r="A34" s="10" t="s">
        <v>11</v>
      </c>
      <c r="B34" s="32">
        <v>7</v>
      </c>
      <c r="C34" s="20">
        <v>800000</v>
      </c>
      <c r="D34" s="20">
        <v>795000</v>
      </c>
      <c r="E34" s="11">
        <v>0.99375000000000002</v>
      </c>
      <c r="G34" s="10" t="s">
        <v>11</v>
      </c>
      <c r="H34" s="10" t="s">
        <v>36</v>
      </c>
      <c r="I34" s="10" t="s">
        <v>11</v>
      </c>
      <c r="J34" s="20">
        <v>140000</v>
      </c>
      <c r="K34" s="27">
        <v>1.0769230769230769</v>
      </c>
    </row>
    <row r="35" spans="1:11" x14ac:dyDescent="0.3">
      <c r="A35" s="10" t="s">
        <v>55</v>
      </c>
      <c r="B35" s="32">
        <v>15</v>
      </c>
      <c r="C35" s="20">
        <v>1490000</v>
      </c>
      <c r="D35" s="20">
        <v>1382000</v>
      </c>
      <c r="E35" s="11">
        <v>0.9275167785234899</v>
      </c>
      <c r="G35" s="10" t="s">
        <v>55</v>
      </c>
      <c r="H35" s="10" t="s">
        <v>23</v>
      </c>
      <c r="I35" s="10" t="s">
        <v>24</v>
      </c>
      <c r="J35" s="20">
        <v>92000</v>
      </c>
      <c r="K35" s="27">
        <v>1.0222222222222221</v>
      </c>
    </row>
    <row r="36" spans="1:11" ht="18" x14ac:dyDescent="0.3">
      <c r="A36" s="18" t="s">
        <v>74</v>
      </c>
      <c r="B36" s="18"/>
      <c r="C36" s="18"/>
    </row>
    <row r="37" spans="1:11" ht="21" x14ac:dyDescent="0.4">
      <c r="A37" s="24" t="s">
        <v>63</v>
      </c>
      <c r="B37" s="24" t="s">
        <v>68</v>
      </c>
      <c r="C37" s="24" t="s">
        <v>69</v>
      </c>
    </row>
    <row r="38" spans="1:11" ht="21" x14ac:dyDescent="0.4">
      <c r="A38" s="25" t="s">
        <v>64</v>
      </c>
      <c r="B38" s="25">
        <f>COUNTA(Table1[Employee])-COUNTA(_xlfn.UNIQUE(Table1[Employee]))</f>
        <v>2</v>
      </c>
      <c r="C38" s="25" t="s">
        <v>70</v>
      </c>
    </row>
    <row r="39" spans="1:11" ht="21" x14ac:dyDescent="0.4">
      <c r="A39" s="25" t="s">
        <v>65</v>
      </c>
      <c r="B39" s="25">
        <f>COUNTIF(Table1[Employee],"Unknown")</f>
        <v>1</v>
      </c>
      <c r="C39" s="25" t="s">
        <v>71</v>
      </c>
    </row>
    <row r="40" spans="1:11" ht="21" x14ac:dyDescent="0.4">
      <c r="A40" s="25" t="s">
        <v>66</v>
      </c>
      <c r="B40" s="25">
        <f>COUNTIF(Table1[Ach%],"-")</f>
        <v>1</v>
      </c>
      <c r="C40" s="25" t="s">
        <v>72</v>
      </c>
    </row>
    <row r="41" spans="1:11" ht="21" x14ac:dyDescent="0.4">
      <c r="A41" s="25" t="s">
        <v>67</v>
      </c>
      <c r="B41" s="25">
        <f>COUNTIF(Table1[Manager],"-")</f>
        <v>1</v>
      </c>
      <c r="C41" s="25" t="s">
        <v>73</v>
      </c>
    </row>
  </sheetData>
  <mergeCells count="8">
    <mergeCell ref="A1:L2"/>
    <mergeCell ref="A29:E29"/>
    <mergeCell ref="A36:C36"/>
    <mergeCell ref="M29:N29"/>
    <mergeCell ref="G29:K29"/>
    <mergeCell ref="N1:V2"/>
    <mergeCell ref="A9:L9"/>
    <mergeCell ref="M1:M2"/>
  </mergeCells>
  <conditionalFormatting sqref="I11:I25">
    <cfRule type="colorScale" priority="1">
      <colorScale>
        <cfvo type="min"/>
        <cfvo type="percentile" val="50"/>
        <cfvo type="max"/>
        <color rgb="FFF8696B"/>
        <color rgb="FFFFEB84"/>
        <color rgb="FF63BE7B"/>
      </colorScale>
    </cfRule>
  </conditionalFormatting>
  <pageMargins left="0.7" right="0.7" top="0.75" bottom="0.75" header="0.3" footer="0.3"/>
  <ignoredErrors>
    <ignoredError sqref="I11" calculatedColumn="1"/>
  </ignoredErrors>
  <drawing r:id="rId4"/>
  <tableParts count="1">
    <tablePart r:id="rId5"/>
  </tableParts>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9F28-A951-469C-B162-2CD399C49D2B}">
  <dimension ref="A1:L50"/>
  <sheetViews>
    <sheetView topLeftCell="A15" workbookViewId="0">
      <selection activeCell="N35" sqref="N35"/>
    </sheetView>
  </sheetViews>
  <sheetFormatPr defaultRowHeight="14.4" x14ac:dyDescent="0.3"/>
  <cols>
    <col min="1" max="1" width="9.21875" bestFit="1" customWidth="1"/>
    <col min="2" max="2" width="11.5546875" bestFit="1" customWidth="1"/>
    <col min="3" max="3" width="13.33203125" bestFit="1" customWidth="1"/>
    <col min="4" max="4" width="12.5546875" bestFit="1" customWidth="1"/>
    <col min="5" max="5" width="13.33203125" bestFit="1" customWidth="1"/>
    <col min="6" max="6" width="7.109375" bestFit="1" customWidth="1"/>
    <col min="7" max="7" width="14.109375" bestFit="1" customWidth="1"/>
    <col min="8" max="8" width="8.33203125" bestFit="1" customWidth="1"/>
    <col min="9" max="9" width="12.5546875" bestFit="1" customWidth="1"/>
    <col min="10" max="10" width="13.21875" bestFit="1" customWidth="1"/>
    <col min="12" max="12" width="10.77734375" bestFit="1" customWidth="1"/>
  </cols>
  <sheetData>
    <row r="1" spans="1:12" x14ac:dyDescent="0.3">
      <c r="A1" t="s">
        <v>0</v>
      </c>
      <c r="B1" t="s">
        <v>1</v>
      </c>
      <c r="C1" t="s">
        <v>2</v>
      </c>
      <c r="D1" t="s">
        <v>3</v>
      </c>
      <c r="E1" t="s">
        <v>4</v>
      </c>
      <c r="F1" t="s">
        <v>5</v>
      </c>
      <c r="G1" t="s">
        <v>6</v>
      </c>
      <c r="H1" t="s">
        <v>7</v>
      </c>
      <c r="I1" t="s">
        <v>47</v>
      </c>
      <c r="J1" t="s">
        <v>48</v>
      </c>
      <c r="K1" t="s">
        <v>49</v>
      </c>
      <c r="L1" t="s">
        <v>8</v>
      </c>
    </row>
    <row r="2" spans="1:12" x14ac:dyDescent="0.3">
      <c r="A2" t="s">
        <v>9</v>
      </c>
      <c r="B2" t="s">
        <v>10</v>
      </c>
      <c r="C2" t="s">
        <v>11</v>
      </c>
      <c r="D2" t="s">
        <v>12</v>
      </c>
      <c r="E2" s="1">
        <v>45292</v>
      </c>
      <c r="F2">
        <v>100000</v>
      </c>
      <c r="G2">
        <v>95000</v>
      </c>
      <c r="H2">
        <v>35000</v>
      </c>
      <c r="I2" s="2">
        <f>IFERROR(Table14[[#This Row],[Achieved]]/Table14[[#This Row],[Target]],"-")</f>
        <v>0.95</v>
      </c>
      <c r="J2" s="2" t="str" cm="1">
        <f t="array" ref="J2">_xlfn.IFS(Table14[[#This Row],[Ach%]]&gt;100%,"Excellent",Table14[[#This Row],[Ach%]]&gt;=90%,"Good",Table14[[#This Row],[Ach%]]&lt;90%,"Poor")</f>
        <v>Good</v>
      </c>
      <c r="K2" s="5" cm="1">
        <f t="array" ref="K2">_xlfn.IFS(Table14[[#This Row],[Rating]]="Excellent",Table14[[#This Row],[Salary]]*10%,Table14[[#This Row],[Rating]]="Good",Table14[[#This Row],[Salary]]*5%,Table14[[#This Row],[Rating]]="Poor",0,TRUE,0)</f>
        <v>1750</v>
      </c>
      <c r="L2" t="s">
        <v>13</v>
      </c>
    </row>
    <row r="3" spans="1:12" x14ac:dyDescent="0.3">
      <c r="A3" t="s">
        <v>14</v>
      </c>
      <c r="B3" t="s">
        <v>15</v>
      </c>
      <c r="C3" t="s">
        <v>11</v>
      </c>
      <c r="D3" t="s">
        <v>16</v>
      </c>
      <c r="E3" s="1">
        <v>45337</v>
      </c>
      <c r="F3">
        <v>120000</v>
      </c>
      <c r="G3">
        <v>125000</v>
      </c>
      <c r="H3">
        <v>38000</v>
      </c>
      <c r="I3" s="2">
        <f>IFERROR(Table14[[#This Row],[Achieved]]/Table14[[#This Row],[Target]],"-")</f>
        <v>1.0416666666666667</v>
      </c>
      <c r="J3" s="2" t="str" cm="1">
        <f t="array" ref="J3">_xlfn.IFS(Table14[[#This Row],[Ach%]]&gt;100%,"Excellent",Table14[[#This Row],[Ach%]]&gt;=90%,"Good",Table14[[#This Row],[Ach%]]&lt;90%,"Poor")</f>
        <v>Excellent</v>
      </c>
      <c r="K3" s="5" cm="1">
        <f t="array" ref="K3">_xlfn.IFS(Table14[[#This Row],[Rating]]="Excellent",Table14[[#This Row],[Salary]]*10%,Table14[[#This Row],[Rating]]="Good",Table14[[#This Row],[Salary]]*5%,Table14[[#This Row],[Rating]]="Poor",0,TRUE,0)</f>
        <v>3800</v>
      </c>
      <c r="L3" t="s">
        <v>13</v>
      </c>
    </row>
    <row r="4" spans="1:12" x14ac:dyDescent="0.3">
      <c r="A4" t="s">
        <v>17</v>
      </c>
      <c r="B4" t="s">
        <v>18</v>
      </c>
      <c r="C4" t="s">
        <v>19</v>
      </c>
      <c r="D4" t="s">
        <v>20</v>
      </c>
      <c r="E4" s="1">
        <v>45361</v>
      </c>
      <c r="F4">
        <v>80000</v>
      </c>
      <c r="G4">
        <v>75000</v>
      </c>
      <c r="H4">
        <v>32000</v>
      </c>
      <c r="I4" s="2">
        <f>IFERROR(Table14[[#This Row],[Achieved]]/Table14[[#This Row],[Target]],"-")</f>
        <v>0.9375</v>
      </c>
      <c r="J4" s="2" t="str" cm="1">
        <f t="array" ref="J4">_xlfn.IFS(Table14[[#This Row],[Ach%]]&gt;100%,"Excellent",Table14[[#This Row],[Ach%]]&gt;=90%,"Good",Table14[[#This Row],[Ach%]]&lt;90%,"Poor")</f>
        <v>Good</v>
      </c>
      <c r="K4" s="5" cm="1">
        <f t="array" ref="K4">_xlfn.IFS(Table14[[#This Row],[Rating]]="Excellent",Table14[[#This Row],[Salary]]*10%,Table14[[#This Row],[Rating]]="Good",Table14[[#This Row],[Salary]]*5%,Table14[[#This Row],[Rating]]="Poor",0,TRUE,0)</f>
        <v>1600</v>
      </c>
      <c r="L4" t="s">
        <v>21</v>
      </c>
    </row>
    <row r="5" spans="1:12" x14ac:dyDescent="0.3">
      <c r="A5" t="s">
        <v>22</v>
      </c>
      <c r="B5" t="s">
        <v>23</v>
      </c>
      <c r="C5" t="s">
        <v>24</v>
      </c>
      <c r="D5" t="s">
        <v>25</v>
      </c>
      <c r="E5" s="1">
        <v>45402</v>
      </c>
      <c r="F5">
        <v>90000</v>
      </c>
      <c r="G5">
        <v>92000</v>
      </c>
      <c r="H5">
        <v>40000</v>
      </c>
      <c r="I5" s="2">
        <f>IFERROR(Table14[[#This Row],[Achieved]]/Table14[[#This Row],[Target]],"-")</f>
        <v>1.0222222222222221</v>
      </c>
      <c r="J5" s="2" t="str" cm="1">
        <f t="array" ref="J5">_xlfn.IFS(Table14[[#This Row],[Ach%]]&gt;100%,"Excellent",Table14[[#This Row],[Ach%]]&gt;=90%,"Good",Table14[[#This Row],[Ach%]]&lt;90%,"Poor")</f>
        <v>Excellent</v>
      </c>
      <c r="K5" s="5" cm="1">
        <f t="array" ref="K5">_xlfn.IFS(Table14[[#This Row],[Rating]]="Excellent",Table14[[#This Row],[Salary]]*10%,Table14[[#This Row],[Rating]]="Good",Table14[[#This Row],[Salary]]*5%,Table14[[#This Row],[Rating]]="Poor",0,TRUE,0)</f>
        <v>4000</v>
      </c>
      <c r="L5" t="s">
        <v>26</v>
      </c>
    </row>
    <row r="6" spans="1:12" x14ac:dyDescent="0.3">
      <c r="A6" t="s">
        <v>27</v>
      </c>
      <c r="B6" t="s">
        <v>10</v>
      </c>
      <c r="C6" t="s">
        <v>11</v>
      </c>
      <c r="D6" t="s">
        <v>12</v>
      </c>
      <c r="E6" s="1">
        <v>45292</v>
      </c>
      <c r="F6">
        <v>100000</v>
      </c>
      <c r="G6">
        <v>95000</v>
      </c>
      <c r="H6">
        <v>35000</v>
      </c>
      <c r="I6" s="2">
        <f>IFERROR(Table14[[#This Row],[Achieved]]/Table14[[#This Row],[Target]],"-")</f>
        <v>0.95</v>
      </c>
      <c r="J6" s="2" t="str" cm="1">
        <f t="array" ref="J6">_xlfn.IFS(Table14[[#This Row],[Ach%]]&gt;100%,"Excellent",Table14[[#This Row],[Ach%]]&gt;=90%,"Good",Table14[[#This Row],[Ach%]]&lt;90%,"Poor")</f>
        <v>Good</v>
      </c>
      <c r="K6" s="5" cm="1">
        <f t="array" ref="K6">_xlfn.IFS(Table14[[#This Row],[Rating]]="Excellent",Table14[[#This Row],[Salary]]*10%,Table14[[#This Row],[Rating]]="Good",Table14[[#This Row],[Salary]]*5%,Table14[[#This Row],[Rating]]="Poor",0,TRUE,0)</f>
        <v>1750</v>
      </c>
      <c r="L6" t="s">
        <v>13</v>
      </c>
    </row>
    <row r="7" spans="1:12" x14ac:dyDescent="0.3">
      <c r="A7" t="s">
        <v>28</v>
      </c>
      <c r="B7" t="s">
        <v>29</v>
      </c>
      <c r="C7" t="s">
        <v>11</v>
      </c>
      <c r="D7" t="s">
        <v>30</v>
      </c>
      <c r="E7" s="1">
        <v>45417</v>
      </c>
      <c r="F7">
        <v>110000</v>
      </c>
      <c r="G7">
        <v>105000</v>
      </c>
      <c r="H7">
        <v>36000</v>
      </c>
      <c r="I7" s="2">
        <f>IFERROR(Table14[[#This Row],[Achieved]]/Table14[[#This Row],[Target]],"-")</f>
        <v>0.95454545454545459</v>
      </c>
      <c r="J7" s="2" t="str" cm="1">
        <f t="array" ref="J7">_xlfn.IFS(Table14[[#This Row],[Ach%]]&gt;100%,"Excellent",Table14[[#This Row],[Ach%]]&gt;=90%,"Good",Table14[[#This Row],[Ach%]]&lt;90%,"Poor")</f>
        <v>Good</v>
      </c>
      <c r="K7" s="5" cm="1">
        <f t="array" ref="K7">_xlfn.IFS(Table14[[#This Row],[Rating]]="Excellent",Table14[[#This Row],[Salary]]*10%,Table14[[#This Row],[Rating]]="Good",Table14[[#This Row],[Salary]]*5%,Table14[[#This Row],[Rating]]="Poor",0,TRUE,0)</f>
        <v>1800</v>
      </c>
      <c r="L7" t="s">
        <v>13</v>
      </c>
    </row>
    <row r="8" spans="1:12" x14ac:dyDescent="0.3">
      <c r="A8" t="s">
        <v>31</v>
      </c>
      <c r="B8" t="s">
        <v>32</v>
      </c>
      <c r="C8" t="s">
        <v>24</v>
      </c>
      <c r="D8" t="s">
        <v>25</v>
      </c>
      <c r="E8" s="1">
        <v>45455</v>
      </c>
      <c r="F8">
        <v>95000</v>
      </c>
      <c r="G8">
        <v>98000</v>
      </c>
      <c r="H8">
        <v>41000</v>
      </c>
      <c r="I8" s="2">
        <f>IFERROR(Table14[[#This Row],[Achieved]]/Table14[[#This Row],[Target]],"-")</f>
        <v>1.0315789473684212</v>
      </c>
      <c r="J8" s="2" t="str" cm="1">
        <f t="array" ref="J8">_xlfn.IFS(Table14[[#This Row],[Ach%]]&gt;100%,"Excellent",Table14[[#This Row],[Ach%]]&gt;=90%,"Good",Table14[[#This Row],[Ach%]]&lt;90%,"Poor")</f>
        <v>Excellent</v>
      </c>
      <c r="K8" s="5" cm="1">
        <f t="array" ref="K8">_xlfn.IFS(Table14[[#This Row],[Rating]]="Excellent",Table14[[#This Row],[Salary]]*10%,Table14[[#This Row],[Rating]]="Good",Table14[[#This Row],[Salary]]*5%,Table14[[#This Row],[Rating]]="Poor",0,TRUE,0)</f>
        <v>4100</v>
      </c>
      <c r="L8" t="s">
        <v>26</v>
      </c>
    </row>
    <row r="9" spans="1:12" x14ac:dyDescent="0.3">
      <c r="A9" t="s">
        <v>33</v>
      </c>
      <c r="B9" t="s">
        <v>34</v>
      </c>
      <c r="C9" t="s">
        <v>19</v>
      </c>
      <c r="D9" t="s">
        <v>20</v>
      </c>
      <c r="E9" s="1">
        <v>45491</v>
      </c>
      <c r="F9">
        <v>85000</v>
      </c>
      <c r="G9">
        <v>70000</v>
      </c>
      <c r="H9">
        <v>33000</v>
      </c>
      <c r="I9" s="2">
        <f>IFERROR(Table14[[#This Row],[Achieved]]/Table14[[#This Row],[Target]],"-")</f>
        <v>0.82352941176470584</v>
      </c>
      <c r="J9" s="2" t="str" cm="1">
        <f t="array" ref="J9">_xlfn.IFS(Table14[[#This Row],[Ach%]]&gt;100%,"Excellent",Table14[[#This Row],[Ach%]]&gt;=90%,"Good",Table14[[#This Row],[Ach%]]&lt;90%,"Poor")</f>
        <v>Poor</v>
      </c>
      <c r="K9" s="5" cm="1">
        <f t="array" ref="K9">_xlfn.IFS(Table14[[#This Row],[Rating]]="Excellent",Table14[[#This Row],[Salary]]*10%,Table14[[#This Row],[Rating]]="Good",Table14[[#This Row],[Salary]]*5%,Table14[[#This Row],[Rating]]="Poor",0,TRUE,0)</f>
        <v>0</v>
      </c>
      <c r="L9" t="s">
        <v>21</v>
      </c>
    </row>
    <row r="10" spans="1:12" x14ac:dyDescent="0.3">
      <c r="A10" t="s">
        <v>35</v>
      </c>
      <c r="B10" t="s">
        <v>36</v>
      </c>
      <c r="C10" t="s">
        <v>11</v>
      </c>
      <c r="D10" t="s">
        <v>16</v>
      </c>
      <c r="E10" s="1">
        <v>45526</v>
      </c>
      <c r="F10">
        <v>130000</v>
      </c>
      <c r="G10">
        <v>140000</v>
      </c>
      <c r="H10">
        <v>39000</v>
      </c>
      <c r="I10" s="2">
        <f>IFERROR(Table14[[#This Row],[Achieved]]/Table14[[#This Row],[Target]],"-")</f>
        <v>1.0769230769230769</v>
      </c>
      <c r="J10" s="2" t="str" cm="1">
        <f t="array" ref="J10">_xlfn.IFS(Table14[[#This Row],[Ach%]]&gt;100%,"Excellent",Table14[[#This Row],[Ach%]]&gt;=90%,"Good",Table14[[#This Row],[Ach%]]&lt;90%,"Poor")</f>
        <v>Excellent</v>
      </c>
      <c r="K10" s="5" cm="1">
        <f t="array" ref="K10">_xlfn.IFS(Table14[[#This Row],[Rating]]="Excellent",Table14[[#This Row],[Salary]]*10%,Table14[[#This Row],[Rating]]="Good",Table14[[#This Row],[Salary]]*5%,Table14[[#This Row],[Rating]]="Poor",0,TRUE,0)</f>
        <v>3900</v>
      </c>
      <c r="L10" t="s">
        <v>13</v>
      </c>
    </row>
    <row r="11" spans="1:12" x14ac:dyDescent="0.3">
      <c r="A11" t="s">
        <v>37</v>
      </c>
      <c r="B11" t="s">
        <v>50</v>
      </c>
      <c r="C11" t="s">
        <v>38</v>
      </c>
      <c r="D11" t="s">
        <v>12</v>
      </c>
      <c r="E11" s="1">
        <v>45545</v>
      </c>
      <c r="F11">
        <v>70000</v>
      </c>
      <c r="G11">
        <v>68000</v>
      </c>
      <c r="H11">
        <v>30000</v>
      </c>
      <c r="I11" s="2">
        <f>IFERROR(Table14[[#This Row],[Achieved]]/Table14[[#This Row],[Target]],"-")</f>
        <v>0.97142857142857142</v>
      </c>
      <c r="J11" s="2" t="str" cm="1">
        <f t="array" ref="J11">_xlfn.IFS(Table14[[#This Row],[Ach%]]&gt;100%,"Excellent",Table14[[#This Row],[Ach%]]&gt;=90%,"Good",Table14[[#This Row],[Ach%]]&lt;90%,"Poor")</f>
        <v>Good</v>
      </c>
      <c r="K11" s="5" cm="1">
        <f t="array" ref="K11">_xlfn.IFS(Table14[[#This Row],[Rating]]="Excellent",Table14[[#This Row],[Salary]]*10%,Table14[[#This Row],[Rating]]="Good",Table14[[#This Row],[Salary]]*5%,Table14[[#This Row],[Rating]]="Poor",0,TRUE,0)</f>
        <v>1500</v>
      </c>
      <c r="L11" t="s">
        <v>39</v>
      </c>
    </row>
    <row r="12" spans="1:12" x14ac:dyDescent="0.3">
      <c r="A12" t="s">
        <v>40</v>
      </c>
      <c r="B12" t="s">
        <v>41</v>
      </c>
      <c r="C12" t="s">
        <v>24</v>
      </c>
      <c r="D12" t="s">
        <v>25</v>
      </c>
      <c r="E12" s="1">
        <v>45580</v>
      </c>
      <c r="F12">
        <v>90000</v>
      </c>
      <c r="G12" s="4" t="s">
        <v>51</v>
      </c>
      <c r="H12">
        <v>42000</v>
      </c>
      <c r="I12" s="3" t="str">
        <f>IFERROR(Table14[[#This Row],[Achieved]]/Table14[[#This Row],[Target]],"-")</f>
        <v>-</v>
      </c>
      <c r="J12" s="2" t="str" cm="1">
        <f t="array" ref="J12">_xlfn.IFS(Table14[[#This Row],[Ach%]]&gt;100%,"Excellent",Table14[[#This Row],[Ach%]]&gt;=90%,"Good",Table14[[#This Row],[Ach%]]&lt;90%,"Poor")</f>
        <v>Excellent</v>
      </c>
      <c r="K12" s="5" cm="1">
        <f t="array" ref="K12">_xlfn.IFS(Table14[[#This Row],[Rating]]="Excellent",Table14[[#This Row],[Salary]]*10%,Table14[[#This Row],[Rating]]="Good",Table14[[#This Row],[Salary]]*5%,Table14[[#This Row],[Rating]]="Poor",0,TRUE,0)</f>
        <v>4200</v>
      </c>
      <c r="L12" t="s">
        <v>26</v>
      </c>
    </row>
    <row r="13" spans="1:12" x14ac:dyDescent="0.3">
      <c r="A13" t="s">
        <v>42</v>
      </c>
      <c r="B13" t="s">
        <v>21</v>
      </c>
      <c r="C13" t="s">
        <v>19</v>
      </c>
      <c r="D13" t="s">
        <v>20</v>
      </c>
      <c r="E13" s="1">
        <v>45601</v>
      </c>
      <c r="F13">
        <v>80000</v>
      </c>
      <c r="G13">
        <v>82000</v>
      </c>
      <c r="H13">
        <v>34000</v>
      </c>
      <c r="I13" s="2">
        <f>IFERROR(Table14[[#This Row],[Achieved]]/Table14[[#This Row],[Target]],"-")</f>
        <v>1.0249999999999999</v>
      </c>
      <c r="J13" s="2" t="str" cm="1">
        <f t="array" ref="J13">_xlfn.IFS(Table14[[#This Row],[Ach%]]&gt;100%,"Excellent",Table14[[#This Row],[Ach%]]&gt;=90%,"Good",Table14[[#This Row],[Ach%]]&lt;90%,"Poor")</f>
        <v>Excellent</v>
      </c>
      <c r="K13" s="5" cm="1">
        <f t="array" ref="K13">_xlfn.IFS(Table14[[#This Row],[Rating]]="Excellent",Table14[[#This Row],[Salary]]*10%,Table14[[#This Row],[Rating]]="Good",Table14[[#This Row],[Salary]]*5%,Table14[[#This Row],[Rating]]="Poor",0,TRUE,0)</f>
        <v>3400</v>
      </c>
      <c r="L13" t="s">
        <v>50</v>
      </c>
    </row>
    <row r="14" spans="1:12" x14ac:dyDescent="0.3">
      <c r="A14" t="s">
        <v>43</v>
      </c>
      <c r="B14" t="s">
        <v>26</v>
      </c>
      <c r="C14" t="s">
        <v>24</v>
      </c>
      <c r="D14" t="s">
        <v>25</v>
      </c>
      <c r="E14" s="1">
        <v>45627</v>
      </c>
      <c r="F14">
        <v>100000</v>
      </c>
      <c r="G14">
        <v>102000</v>
      </c>
      <c r="H14">
        <v>45000</v>
      </c>
      <c r="I14" s="2">
        <f>IFERROR(Table14[[#This Row],[Achieved]]/Table14[[#This Row],[Target]],"-")</f>
        <v>1.02</v>
      </c>
      <c r="J14" s="2" t="str" cm="1">
        <f t="array" ref="J14">_xlfn.IFS(Table14[[#This Row],[Ach%]]&gt;100%,"Excellent",Table14[[#This Row],[Ach%]]&gt;=90%,"Good",Table14[[#This Row],[Ach%]]&lt;90%,"Poor")</f>
        <v>Excellent</v>
      </c>
      <c r="K14" s="5" cm="1">
        <f t="array" ref="K14">_xlfn.IFS(Table14[[#This Row],[Rating]]="Excellent",Table14[[#This Row],[Salary]]*10%,Table14[[#This Row],[Rating]]="Good",Table14[[#This Row],[Salary]]*5%,Table14[[#This Row],[Rating]]="Poor",0,TRUE,0)</f>
        <v>4500</v>
      </c>
      <c r="L14" t="s">
        <v>26</v>
      </c>
    </row>
    <row r="15" spans="1:12" x14ac:dyDescent="0.3">
      <c r="A15" t="s">
        <v>44</v>
      </c>
      <c r="B15" t="s">
        <v>45</v>
      </c>
      <c r="C15" t="s">
        <v>11</v>
      </c>
      <c r="D15" t="s">
        <v>12</v>
      </c>
      <c r="E15" s="1">
        <v>45672</v>
      </c>
      <c r="F15">
        <v>120000</v>
      </c>
      <c r="G15">
        <v>110000</v>
      </c>
      <c r="H15">
        <v>37000</v>
      </c>
      <c r="I15" s="2">
        <f>IFERROR(Table14[[#This Row],[Achieved]]/Table14[[#This Row],[Target]],"-")</f>
        <v>0.91666666666666663</v>
      </c>
      <c r="J15" s="2" t="str" cm="1">
        <f t="array" ref="J15">_xlfn.IFS(Table14[[#This Row],[Ach%]]&gt;100%,"Excellent",Table14[[#This Row],[Ach%]]&gt;=90%,"Good",Table14[[#This Row],[Ach%]]&lt;90%,"Poor")</f>
        <v>Good</v>
      </c>
      <c r="K15" s="5" cm="1">
        <f t="array" ref="K15">_xlfn.IFS(Table14[[#This Row],[Rating]]="Excellent",Table14[[#This Row],[Salary]]*10%,Table14[[#This Row],[Rating]]="Good",Table14[[#This Row],[Salary]]*5%,Table14[[#This Row],[Rating]]="Poor",0,TRUE,0)</f>
        <v>1850</v>
      </c>
      <c r="L15" t="s">
        <v>13</v>
      </c>
    </row>
    <row r="16" spans="1:12" x14ac:dyDescent="0.3">
      <c r="A16" t="s">
        <v>46</v>
      </c>
      <c r="B16" t="s">
        <v>15</v>
      </c>
      <c r="C16" t="s">
        <v>11</v>
      </c>
      <c r="D16" t="s">
        <v>16</v>
      </c>
      <c r="E16" s="1">
        <v>45337</v>
      </c>
      <c r="F16">
        <v>120000</v>
      </c>
      <c r="G16">
        <v>125000</v>
      </c>
      <c r="H16">
        <v>38000</v>
      </c>
      <c r="I16" s="2">
        <f>IFERROR(Table14[[#This Row],[Achieved]]/Table14[[#This Row],[Target]],"-")</f>
        <v>1.0416666666666667</v>
      </c>
      <c r="J16" s="2" t="str" cm="1">
        <f t="array" ref="J16">_xlfn.IFS(Table14[[#This Row],[Ach%]]&gt;100%,"Excellent",Table14[[#This Row],[Ach%]]&gt;=90%,"Good",Table14[[#This Row],[Ach%]]&lt;90%,"Poor")</f>
        <v>Excellent</v>
      </c>
      <c r="K16" s="5" cm="1">
        <f t="array" ref="K16">_xlfn.IFS(Table14[[#This Row],[Rating]]="Excellent",Table14[[#This Row],[Salary]]*10%,Table14[[#This Row],[Rating]]="Good",Table14[[#This Row],[Salary]]*5%,Table14[[#This Row],[Rating]]="Poor",0,TRUE,0)</f>
        <v>3800</v>
      </c>
      <c r="L16" t="s">
        <v>13</v>
      </c>
    </row>
    <row r="20" spans="3:12" x14ac:dyDescent="0.3">
      <c r="C20">
        <f>COUNTA(Table14[Employee])</f>
        <v>15</v>
      </c>
      <c r="G20" s="9">
        <f>SUM(Table14[Achieved])/SUM(Table14[Target])</f>
        <v>0.9275167785234899</v>
      </c>
    </row>
    <row r="22" spans="3:12" x14ac:dyDescent="0.3">
      <c r="C22" s="8">
        <f>SUM(Table14[Target])</f>
        <v>1490000</v>
      </c>
    </row>
    <row r="23" spans="3:12" x14ac:dyDescent="0.3">
      <c r="E23" s="8">
        <f>SUM(Table14[Achieved])</f>
        <v>1382000</v>
      </c>
    </row>
    <row r="24" spans="3:12" x14ac:dyDescent="0.3">
      <c r="G24" s="8">
        <f>SUM(Table14[Salary])</f>
        <v>555000</v>
      </c>
      <c r="J24" t="str">
        <f>_xlfn.XLOOKUP(MAX(Table14[Achieved]),Table14[Achieved],Table14[Employee])</f>
        <v>Megha</v>
      </c>
      <c r="L24" t="str">
        <f>_xlfn.XLOOKUP(MIN(Table14[Ach%]),Table14[Ach%],Table14[Employee])</f>
        <v>Rohit</v>
      </c>
    </row>
    <row r="28" spans="3:12" x14ac:dyDescent="0.3">
      <c r="E28" s="13" t="s">
        <v>2</v>
      </c>
      <c r="F28" t="s">
        <v>62</v>
      </c>
    </row>
    <row r="29" spans="3:12" x14ac:dyDescent="0.3">
      <c r="E29" s="14" t="s">
        <v>24</v>
      </c>
      <c r="F29" s="2">
        <v>0.77866666666666662</v>
      </c>
    </row>
    <row r="30" spans="3:12" x14ac:dyDescent="0.3">
      <c r="E30" s="14" t="s">
        <v>19</v>
      </c>
      <c r="F30" s="2">
        <v>0.92653061224489797</v>
      </c>
    </row>
    <row r="31" spans="3:12" x14ac:dyDescent="0.3">
      <c r="E31" s="14" t="s">
        <v>38</v>
      </c>
      <c r="F31" s="2">
        <v>0.97142857142857142</v>
      </c>
    </row>
    <row r="32" spans="3:12" x14ac:dyDescent="0.3">
      <c r="E32" s="14" t="s">
        <v>11</v>
      </c>
      <c r="F32" s="2">
        <v>0.99375000000000002</v>
      </c>
    </row>
    <row r="33" spans="4:10" x14ac:dyDescent="0.3">
      <c r="E33" s="14" t="s">
        <v>55</v>
      </c>
      <c r="F33" s="2">
        <v>0.9275167785234899</v>
      </c>
    </row>
    <row r="37" spans="4:10" x14ac:dyDescent="0.3">
      <c r="I37" s="13" t="s">
        <v>54</v>
      </c>
      <c r="J37" t="s">
        <v>60</v>
      </c>
    </row>
    <row r="38" spans="4:10" x14ac:dyDescent="0.3">
      <c r="I38" s="14" t="s">
        <v>75</v>
      </c>
      <c r="J38" s="2">
        <v>0.9375</v>
      </c>
    </row>
    <row r="39" spans="4:10" x14ac:dyDescent="0.3">
      <c r="D39" s="13" t="s">
        <v>54</v>
      </c>
      <c r="E39" t="s">
        <v>56</v>
      </c>
      <c r="I39" s="14" t="s">
        <v>76</v>
      </c>
      <c r="J39" s="2">
        <v>1.0416666666666667</v>
      </c>
    </row>
    <row r="40" spans="4:10" x14ac:dyDescent="0.3">
      <c r="D40" s="14" t="s">
        <v>25</v>
      </c>
      <c r="E40">
        <v>4</v>
      </c>
      <c r="I40" s="14" t="s">
        <v>77</v>
      </c>
      <c r="J40" s="2">
        <v>0.9375</v>
      </c>
    </row>
    <row r="41" spans="4:10" x14ac:dyDescent="0.3">
      <c r="D41" s="14" t="s">
        <v>12</v>
      </c>
      <c r="E41">
        <v>4</v>
      </c>
      <c r="I41" s="14" t="s">
        <v>78</v>
      </c>
      <c r="J41" s="2">
        <v>1.0222222222222221</v>
      </c>
    </row>
    <row r="42" spans="4:10" x14ac:dyDescent="0.3">
      <c r="D42" s="14" t="s">
        <v>30</v>
      </c>
      <c r="E42">
        <v>1</v>
      </c>
      <c r="I42" s="14" t="s">
        <v>79</v>
      </c>
      <c r="J42" s="2">
        <v>0.95454545454545459</v>
      </c>
    </row>
    <row r="43" spans="4:10" x14ac:dyDescent="0.3">
      <c r="D43" s="14" t="s">
        <v>16</v>
      </c>
      <c r="E43">
        <v>3</v>
      </c>
      <c r="I43" s="14" t="s">
        <v>80</v>
      </c>
      <c r="J43" s="2">
        <v>1.0315789473684212</v>
      </c>
    </row>
    <row r="44" spans="4:10" x14ac:dyDescent="0.3">
      <c r="D44" s="14" t="s">
        <v>20</v>
      </c>
      <c r="E44">
        <v>3</v>
      </c>
      <c r="I44" s="14" t="s">
        <v>81</v>
      </c>
      <c r="J44" s="2">
        <v>0.82352941176470584</v>
      </c>
    </row>
    <row r="45" spans="4:10" x14ac:dyDescent="0.3">
      <c r="D45" s="14" t="s">
        <v>55</v>
      </c>
      <c r="E45">
        <v>15</v>
      </c>
      <c r="I45" s="14" t="s">
        <v>82</v>
      </c>
      <c r="J45" s="2">
        <v>1.0769230769230769</v>
      </c>
    </row>
    <row r="46" spans="4:10" x14ac:dyDescent="0.3">
      <c r="I46" s="14" t="s">
        <v>83</v>
      </c>
      <c r="J46" s="2">
        <v>0.97142857142857142</v>
      </c>
    </row>
    <row r="47" spans="4:10" x14ac:dyDescent="0.3">
      <c r="I47" s="14" t="s">
        <v>84</v>
      </c>
      <c r="J47" s="2">
        <v>0</v>
      </c>
    </row>
    <row r="48" spans="4:10" x14ac:dyDescent="0.3">
      <c r="I48" s="14" t="s">
        <v>85</v>
      </c>
      <c r="J48" s="2">
        <v>1.0249999999999999</v>
      </c>
    </row>
    <row r="49" spans="9:10" x14ac:dyDescent="0.3">
      <c r="I49" s="14" t="s">
        <v>86</v>
      </c>
      <c r="J49" s="2">
        <v>1.02</v>
      </c>
    </row>
    <row r="50" spans="9:10" x14ac:dyDescent="0.3">
      <c r="I50" s="14" t="s">
        <v>55</v>
      </c>
      <c r="J50" s="2">
        <v>0.9275167785234899</v>
      </c>
    </row>
  </sheetData>
  <pageMargins left="0.7" right="0.7" top="0.75" bottom="0.75" header="0.3" footer="0.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38D892A3-9DCE-4AC0-B0D5-80464B1AAC83}">
  <ds:schemaRefs/>
</ds:datastoreItem>
</file>

<file path=customXml/itemProps2.xml><?xml version="1.0" encoding="utf-8"?>
<ds:datastoreItem xmlns:ds="http://schemas.openxmlformats.org/officeDocument/2006/customXml" ds:itemID="{ACE5CB33-11E3-4961-A97A-3118FB126E49}">
  <ds:schemaRefs/>
</ds:datastoreItem>
</file>

<file path=customXml/itemProps3.xml><?xml version="1.0" encoding="utf-8"?>
<ds:datastoreItem xmlns:ds="http://schemas.openxmlformats.org/officeDocument/2006/customXml" ds:itemID="{D4A5BE24-D2AB-4AE8-B0DF-8351D88F141B}">
  <ds:schemaRefs/>
</ds:datastoreItem>
</file>

<file path=customXml/itemProps4.xml><?xml version="1.0" encoding="utf-8"?>
<ds:datastoreItem xmlns:ds="http://schemas.openxmlformats.org/officeDocument/2006/customXml" ds:itemID="{3DB689BB-C1AD-4DA6-ABC4-C1F07E720B36}">
  <ds:schemaRefs/>
</ds:datastoreItem>
</file>

<file path=customXml/itemProps5.xml><?xml version="1.0" encoding="utf-8"?>
<ds:datastoreItem xmlns:ds="http://schemas.openxmlformats.org/officeDocument/2006/customXml" ds:itemID="{563B46C0-6621-4933-B574-1BADB4C67B54}">
  <ds:schemaRefs/>
</ds:datastoreItem>
</file>

<file path=customXml/itemProps6.xml><?xml version="1.0" encoding="utf-8"?>
<ds:datastoreItem xmlns:ds="http://schemas.openxmlformats.org/officeDocument/2006/customXml" ds:itemID="{3A5BF199-64F6-4D6C-8E2A-EDDE9A5C8E67}">
  <ds:schemaRefs/>
</ds:datastoreItem>
</file>

<file path=customXml/itemProps7.xml><?xml version="1.0" encoding="utf-8"?>
<ds:datastoreItem xmlns:ds="http://schemas.openxmlformats.org/officeDocument/2006/customXml" ds:itemID="{0BE9F590-B741-4BFC-8B2A-EA47196A3909}">
  <ds:schemaRefs/>
</ds:datastoreItem>
</file>

<file path=customXml/itemProps8.xml><?xml version="1.0" encoding="utf-8"?>
<ds:datastoreItem xmlns:ds="http://schemas.openxmlformats.org/officeDocument/2006/customXml" ds:itemID="{F111E87F-BA9E-4BCF-843B-AC58AD91BE26}">
  <ds:schemaRefs/>
</ds:datastoreItem>
</file>

<file path=customXml/itemProps9.xml><?xml version="1.0" encoding="utf-8"?>
<ds:datastoreItem xmlns:ds="http://schemas.openxmlformats.org/officeDocument/2006/customXml" ds:itemID="{62AA50EB-FD60-4CC0-86A6-E7751BE90E48}">
  <ds:schemaRefs/>
</ds:datastoreItem>
</file>

<file path=customXml/itemProps10.xml><?xml version="1.0" encoding="utf-8"?>
<ds:datastoreItem xmlns:ds="http://schemas.openxmlformats.org/officeDocument/2006/customXml" ds:itemID="{22902FAB-45B0-491C-9CA0-C5227F5D7A56}">
  <ds:schemaRefs/>
</ds:datastoreItem>
</file>

<file path=customXml/itemProps11.xml><?xml version="1.0" encoding="utf-8"?>
<ds:datastoreItem xmlns:ds="http://schemas.openxmlformats.org/officeDocument/2006/customXml" ds:itemID="{F30DACEC-6810-43EA-B357-B646F060E22E}">
  <ds:schemaRefs/>
</ds:datastoreItem>
</file>

<file path=customXml/itemProps12.xml><?xml version="1.0" encoding="utf-8"?>
<ds:datastoreItem xmlns:ds="http://schemas.openxmlformats.org/officeDocument/2006/customXml" ds:itemID="{9638DE49-9C13-4F56-98DC-73E9EF8B95AC}">
  <ds:schemaRefs/>
</ds:datastoreItem>
</file>

<file path=customXml/itemProps13.xml><?xml version="1.0" encoding="utf-8"?>
<ds:datastoreItem xmlns:ds="http://schemas.openxmlformats.org/officeDocument/2006/customXml" ds:itemID="{89CE81C7-EB37-478D-945B-A39A7C039CF7}">
  <ds:schemaRefs/>
</ds:datastoreItem>
</file>

<file path=customXml/itemProps14.xml><?xml version="1.0" encoding="utf-8"?>
<ds:datastoreItem xmlns:ds="http://schemas.openxmlformats.org/officeDocument/2006/customXml" ds:itemID="{36F50DC2-E8D5-418E-AACD-4B450E31BCAA}">
  <ds:schemaRefs/>
</ds:datastoreItem>
</file>

<file path=customXml/itemProps15.xml><?xml version="1.0" encoding="utf-8"?>
<ds:datastoreItem xmlns:ds="http://schemas.openxmlformats.org/officeDocument/2006/customXml" ds:itemID="{748A9121-58CC-4642-8FA5-EF9C032E410B}">
  <ds:schemaRefs/>
</ds:datastoreItem>
</file>

<file path=customXml/itemProps16.xml><?xml version="1.0" encoding="utf-8"?>
<ds:datastoreItem xmlns:ds="http://schemas.openxmlformats.org/officeDocument/2006/customXml" ds:itemID="{E6693905-41A6-4BD6-88F9-5CED7B23D06B}">
  <ds:schemaRefs/>
</ds:datastoreItem>
</file>

<file path=customXml/itemProps17.xml><?xml version="1.0" encoding="utf-8"?>
<ds:datastoreItem xmlns:ds="http://schemas.openxmlformats.org/officeDocument/2006/customXml" ds:itemID="{A2373F2B-4B84-4B7F-8591-EE1178C034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 gera</dc:creator>
  <cp:lastModifiedBy>krish gera</cp:lastModifiedBy>
  <dcterms:created xsi:type="dcterms:W3CDTF">2026-06-21T07:38:17Z</dcterms:created>
  <dcterms:modified xsi:type="dcterms:W3CDTF">2026-06-24T21:38:21Z</dcterms:modified>
</cp:coreProperties>
</file>